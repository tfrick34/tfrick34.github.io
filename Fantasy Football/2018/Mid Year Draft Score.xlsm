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frick\Documents\GitHub\tfrick34.github.io\Fantasy Football\2018\"/>
    </mc:Choice>
  </mc:AlternateContent>
  <bookViews>
    <workbookView xWindow="0" yWindow="0" windowWidth="24000" windowHeight="8775"/>
  </bookViews>
  <sheets>
    <sheet name="Annie" sheetId="2" r:id="rId1"/>
    <sheet name="Alie" sheetId="3" r:id="rId2"/>
    <sheet name="Tim" sheetId="1" r:id="rId3"/>
    <sheet name="Paul" sheetId="4" r:id="rId4"/>
    <sheet name="Wes" sheetId="5" r:id="rId5"/>
    <sheet name="Anthony" sheetId="6" r:id="rId6"/>
    <sheet name="Jake" sheetId="7" r:id="rId7"/>
    <sheet name="Devon" sheetId="8" r:id="rId8"/>
    <sheet name="Sheila" sheetId="9" r:id="rId9"/>
    <sheet name="Colin" sheetId="10" r:id="rId10"/>
    <sheet name="Stat Sheet" sheetId="11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7" i="10" l="1"/>
  <c r="C27" i="10"/>
  <c r="E26" i="10"/>
  <c r="C26" i="10"/>
  <c r="C25" i="10"/>
  <c r="C24" i="10"/>
  <c r="C23" i="10"/>
  <c r="C22" i="10"/>
  <c r="E21" i="10"/>
  <c r="E22" i="10" s="1"/>
  <c r="C21" i="10"/>
  <c r="E27" i="9"/>
  <c r="C27" i="9"/>
  <c r="E26" i="9"/>
  <c r="C26" i="9"/>
  <c r="C25" i="9"/>
  <c r="C24" i="9"/>
  <c r="C23" i="9"/>
  <c r="C22" i="9"/>
  <c r="E21" i="9"/>
  <c r="E22" i="9" s="1"/>
  <c r="C21" i="9"/>
  <c r="E27" i="8"/>
  <c r="C27" i="8"/>
  <c r="E26" i="8"/>
  <c r="C26" i="8"/>
  <c r="C25" i="8"/>
  <c r="C24" i="8"/>
  <c r="C23" i="8"/>
  <c r="C22" i="8"/>
  <c r="E21" i="8"/>
  <c r="E22" i="8" s="1"/>
  <c r="C21" i="8"/>
  <c r="E27" i="7"/>
  <c r="C27" i="7"/>
  <c r="E26" i="7"/>
  <c r="C26" i="7"/>
  <c r="C25" i="7"/>
  <c r="C24" i="7"/>
  <c r="C23" i="7"/>
  <c r="C22" i="7"/>
  <c r="E21" i="7"/>
  <c r="E22" i="7" s="1"/>
  <c r="C21" i="7"/>
  <c r="E27" i="6"/>
  <c r="C27" i="6"/>
  <c r="E26" i="6"/>
  <c r="C26" i="6"/>
  <c r="C25" i="6"/>
  <c r="C24" i="6"/>
  <c r="C23" i="6"/>
  <c r="C22" i="6"/>
  <c r="E21" i="6"/>
  <c r="E22" i="6" s="1"/>
  <c r="C21" i="6"/>
  <c r="E27" i="5"/>
  <c r="C27" i="5"/>
  <c r="E26" i="5"/>
  <c r="C26" i="5"/>
  <c r="C25" i="5"/>
  <c r="C24" i="5"/>
  <c r="C23" i="5"/>
  <c r="C22" i="5"/>
  <c r="E21" i="5"/>
  <c r="E22" i="5" s="1"/>
  <c r="C21" i="5"/>
  <c r="E27" i="4"/>
  <c r="C27" i="4"/>
  <c r="E26" i="4"/>
  <c r="C26" i="4"/>
  <c r="C25" i="4"/>
  <c r="C24" i="4"/>
  <c r="C23" i="4"/>
  <c r="E21" i="4"/>
  <c r="E22" i="4" s="1"/>
  <c r="C21" i="4"/>
  <c r="C22" i="4" s="1"/>
  <c r="E27" i="1"/>
  <c r="C27" i="1"/>
  <c r="E26" i="1"/>
  <c r="C26" i="1"/>
  <c r="C25" i="1"/>
  <c r="C24" i="1"/>
  <c r="C23" i="1"/>
  <c r="C22" i="1"/>
  <c r="E21" i="1"/>
  <c r="E22" i="1" s="1"/>
  <c r="C21" i="1"/>
  <c r="E27" i="3"/>
  <c r="C27" i="3"/>
  <c r="E26" i="3"/>
  <c r="C26" i="3"/>
  <c r="C25" i="3"/>
  <c r="C24" i="3"/>
  <c r="C23" i="3"/>
  <c r="C22" i="3"/>
  <c r="E21" i="3"/>
  <c r="E22" i="3" s="1"/>
  <c r="C21" i="3"/>
  <c r="C25" i="2"/>
  <c r="C24" i="2"/>
  <c r="H15" i="10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B16" i="11"/>
  <c r="B15" i="11"/>
  <c r="B14" i="11"/>
  <c r="B13" i="11"/>
  <c r="C14" i="11"/>
  <c r="C13" i="11"/>
  <c r="C6" i="11"/>
  <c r="C5" i="11"/>
  <c r="B6" i="11"/>
  <c r="B5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C29" i="2"/>
  <c r="F4" i="11"/>
  <c r="E35" i="9"/>
  <c r="E33" i="6"/>
  <c r="C29" i="1"/>
  <c r="C35" i="1"/>
  <c r="C35" i="5"/>
  <c r="C29" i="9"/>
  <c r="E29" i="7"/>
  <c r="C29" i="6"/>
  <c r="E31" i="8"/>
  <c r="C28" i="9"/>
  <c r="E28" i="7"/>
  <c r="C35" i="9"/>
  <c r="C30" i="1"/>
  <c r="E31" i="6"/>
  <c r="C28" i="8"/>
  <c r="E29" i="1"/>
  <c r="C28" i="3"/>
  <c r="C29" i="3"/>
  <c r="C33" i="6"/>
  <c r="E30" i="8"/>
  <c r="E28" i="5"/>
  <c r="C31" i="3"/>
  <c r="E28" i="10"/>
  <c r="C35" i="8"/>
  <c r="C31" i="6"/>
  <c r="E29" i="6"/>
  <c r="E30" i="3"/>
  <c r="E35" i="7"/>
  <c r="E30" i="6"/>
  <c r="C29" i="4"/>
  <c r="C35" i="3"/>
  <c r="C31" i="5"/>
  <c r="E28" i="3"/>
  <c r="E31" i="4"/>
  <c r="E35" i="10"/>
  <c r="E35" i="8"/>
  <c r="C31" i="10"/>
  <c r="E29" i="8"/>
  <c r="C28" i="4"/>
  <c r="C35" i="4"/>
  <c r="E31" i="7"/>
  <c r="E29" i="5"/>
  <c r="E35" i="1"/>
  <c r="C31" i="1"/>
  <c r="E35" i="4"/>
  <c r="E30" i="1"/>
  <c r="C30" i="5"/>
  <c r="E28" i="9"/>
  <c r="E31" i="2"/>
  <c r="C30" i="9"/>
  <c r="C35" i="6"/>
  <c r="E33" i="9"/>
  <c r="E35" i="3"/>
  <c r="C30" i="3"/>
  <c r="E28" i="6"/>
  <c r="C33" i="10"/>
  <c r="C28" i="6"/>
  <c r="C29" i="10"/>
  <c r="E30" i="5"/>
  <c r="C30" i="6"/>
  <c r="E31" i="10"/>
  <c r="E29" i="4"/>
  <c r="C33" i="8"/>
  <c r="C30" i="10"/>
  <c r="C33" i="7"/>
  <c r="C31" i="7"/>
  <c r="C31" i="9"/>
  <c r="C28" i="1"/>
  <c r="C30" i="8"/>
  <c r="E29" i="10"/>
  <c r="E31" i="9"/>
  <c r="C28" i="7"/>
  <c r="E30" i="9"/>
  <c r="E33" i="5"/>
  <c r="E29" i="2"/>
  <c r="C30" i="4"/>
  <c r="E33" i="7"/>
  <c r="E33" i="10"/>
  <c r="E33" i="3"/>
  <c r="C33" i="3"/>
  <c r="C33" i="5"/>
  <c r="E35" i="5"/>
  <c r="E29" i="3"/>
  <c r="C29" i="5"/>
  <c r="E28" i="4"/>
  <c r="E35" i="6"/>
  <c r="C29" i="8"/>
  <c r="E33" i="1"/>
  <c r="C31" i="8"/>
  <c r="C33" i="1"/>
  <c r="C31" i="4"/>
  <c r="E33" i="8"/>
  <c r="E30" i="2"/>
  <c r="E28" i="8"/>
  <c r="C30" i="7"/>
  <c r="C29" i="7"/>
  <c r="E28" i="1"/>
  <c r="C33" i="4"/>
  <c r="E29" i="9"/>
  <c r="C35" i="10"/>
  <c r="E31" i="3"/>
  <c r="E30" i="10"/>
  <c r="E31" i="1"/>
  <c r="E31" i="5"/>
  <c r="E30" i="4"/>
  <c r="C28" i="5"/>
  <c r="C28" i="10"/>
  <c r="C33" i="9"/>
  <c r="C35" i="7"/>
  <c r="C30" i="2"/>
  <c r="E30" i="7"/>
  <c r="E33" i="4"/>
  <c r="C23" i="2" l="1"/>
  <c r="C8" i="11"/>
  <c r="L3" i="1"/>
  <c r="L4" i="10"/>
  <c r="L6" i="10"/>
  <c r="L3" i="5"/>
  <c r="L5" i="3"/>
  <c r="L6" i="4"/>
  <c r="L4" i="2"/>
  <c r="L5" i="10"/>
  <c r="L6" i="3"/>
  <c r="L3" i="7"/>
  <c r="C35" i="2"/>
  <c r="B11" i="11" s="1"/>
  <c r="L6" i="7"/>
  <c r="L4" i="9"/>
  <c r="L5" i="5"/>
  <c r="L5" i="9"/>
  <c r="L5" i="4"/>
  <c r="L6" i="9"/>
  <c r="L3" i="6"/>
  <c r="L6" i="6"/>
  <c r="L5" i="6"/>
  <c r="L3" i="3"/>
  <c r="L4" i="1"/>
  <c r="L5" i="2"/>
  <c r="L6" i="1"/>
  <c r="L4" i="4"/>
  <c r="L6" i="5"/>
  <c r="L5" i="1"/>
  <c r="L3" i="4"/>
  <c r="L4" i="6"/>
  <c r="C7" i="11"/>
  <c r="E35" i="2"/>
  <c r="B12" i="11"/>
  <c r="L4" i="7"/>
  <c r="L4" i="5"/>
  <c r="L5" i="7"/>
  <c r="L3" i="9"/>
  <c r="L3" i="2"/>
  <c r="L4" i="3"/>
  <c r="L6" i="2"/>
  <c r="L3" i="10"/>
  <c r="C11" i="11"/>
  <c r="C12" i="11"/>
  <c r="E34" i="10" l="1"/>
  <c r="C34" i="10"/>
  <c r="C32" i="10"/>
  <c r="E32" i="10"/>
  <c r="E36" i="10"/>
  <c r="C36" i="10"/>
  <c r="E36" i="9"/>
  <c r="C36" i="9"/>
  <c r="C32" i="9"/>
  <c r="E32" i="9"/>
  <c r="C34" i="9"/>
  <c r="E34" i="9"/>
  <c r="C34" i="7"/>
  <c r="E34" i="7"/>
  <c r="C32" i="7"/>
  <c r="E32" i="7"/>
  <c r="E36" i="7"/>
  <c r="C36" i="7"/>
  <c r="C34" i="6"/>
  <c r="E34" i="6"/>
  <c r="E32" i="6"/>
  <c r="C32" i="6"/>
  <c r="E36" i="6"/>
  <c r="C36" i="6"/>
  <c r="E36" i="5"/>
  <c r="C36" i="5"/>
  <c r="E32" i="5"/>
  <c r="C32" i="5"/>
  <c r="C34" i="5"/>
  <c r="E34" i="5"/>
  <c r="E34" i="4"/>
  <c r="C34" i="4"/>
  <c r="C32" i="4"/>
  <c r="E32" i="4"/>
  <c r="E36" i="4"/>
  <c r="C36" i="4"/>
  <c r="C32" i="1"/>
  <c r="E32" i="1"/>
  <c r="C34" i="1"/>
  <c r="E34" i="1"/>
  <c r="E36" i="1"/>
  <c r="C36" i="1"/>
  <c r="C32" i="3"/>
  <c r="E32" i="3"/>
  <c r="E34" i="3"/>
  <c r="C34" i="3"/>
  <c r="E36" i="3"/>
  <c r="C36" i="3"/>
  <c r="E36" i="2"/>
  <c r="C36" i="2"/>
  <c r="I18" i="7"/>
  <c r="I17" i="7"/>
  <c r="I16" i="7"/>
  <c r="I15" i="7"/>
  <c r="I14" i="7"/>
  <c r="I13" i="7"/>
  <c r="I12" i="7"/>
  <c r="I11" i="7"/>
  <c r="I10" i="7"/>
  <c r="I9" i="7"/>
  <c r="I8" i="7"/>
  <c r="I7" i="7"/>
  <c r="I6" i="7"/>
  <c r="I5" i="7"/>
  <c r="I4" i="7"/>
  <c r="I3" i="7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H18" i="10"/>
  <c r="H17" i="10"/>
  <c r="I17" i="10" s="1"/>
  <c r="H16" i="10"/>
  <c r="I16" i="10" s="1"/>
  <c r="H14" i="10"/>
  <c r="I14" i="10" s="1"/>
  <c r="H13" i="10"/>
  <c r="I13" i="10" s="1"/>
  <c r="H12" i="10"/>
  <c r="I12" i="10" s="1"/>
  <c r="H11" i="10"/>
  <c r="I11" i="10" s="1"/>
  <c r="H10" i="10"/>
  <c r="I10" i="10" s="1"/>
  <c r="H9" i="10"/>
  <c r="I9" i="10" s="1"/>
  <c r="H8" i="10"/>
  <c r="I8" i="10" s="1"/>
  <c r="H7" i="10"/>
  <c r="I7" i="10" s="1"/>
  <c r="H6" i="10"/>
  <c r="H5" i="10"/>
  <c r="I5" i="10" s="1"/>
  <c r="H4" i="10"/>
  <c r="I4" i="10" s="1"/>
  <c r="H3" i="10"/>
  <c r="H18" i="9"/>
  <c r="H17" i="9"/>
  <c r="I17" i="9" s="1"/>
  <c r="H16" i="9"/>
  <c r="I16" i="9" s="1"/>
  <c r="H15" i="9"/>
  <c r="H14" i="9"/>
  <c r="I14" i="9" s="1"/>
  <c r="H13" i="9"/>
  <c r="I13" i="9" s="1"/>
  <c r="H12" i="9"/>
  <c r="I12" i="9" s="1"/>
  <c r="H11" i="9"/>
  <c r="I11" i="9" s="1"/>
  <c r="H10" i="9"/>
  <c r="I10" i="9" s="1"/>
  <c r="H9" i="9"/>
  <c r="I9" i="9" s="1"/>
  <c r="H8" i="9"/>
  <c r="I8" i="9" s="1"/>
  <c r="H7" i="9"/>
  <c r="I7" i="9" s="1"/>
  <c r="H6" i="9"/>
  <c r="H5" i="9"/>
  <c r="I5" i="9" s="1"/>
  <c r="H4" i="9"/>
  <c r="I4" i="9" s="1"/>
  <c r="H3" i="9"/>
  <c r="L5" i="8"/>
  <c r="L6" i="8"/>
  <c r="L3" i="8"/>
  <c r="L4" i="8"/>
  <c r="C34" i="8" l="1"/>
  <c r="E34" i="8"/>
  <c r="E36" i="8"/>
  <c r="C36" i="8"/>
  <c r="E32" i="8"/>
  <c r="C32" i="8"/>
  <c r="I6" i="10"/>
  <c r="I18" i="10"/>
  <c r="I3" i="10"/>
  <c r="I15" i="10"/>
  <c r="I6" i="9"/>
  <c r="I18" i="9"/>
  <c r="I3" i="9"/>
  <c r="I15" i="9"/>
  <c r="H18" i="8" l="1"/>
  <c r="H17" i="8"/>
  <c r="I17" i="8" s="1"/>
  <c r="H16" i="8"/>
  <c r="I16" i="8" s="1"/>
  <c r="H15" i="8"/>
  <c r="H14" i="8"/>
  <c r="I14" i="8" s="1"/>
  <c r="H13" i="8"/>
  <c r="I13" i="8" s="1"/>
  <c r="H12" i="8"/>
  <c r="I12" i="8" s="1"/>
  <c r="H11" i="8"/>
  <c r="I11" i="8" s="1"/>
  <c r="H10" i="8"/>
  <c r="I10" i="8" s="1"/>
  <c r="H9" i="8"/>
  <c r="I9" i="8" s="1"/>
  <c r="H8" i="8"/>
  <c r="I8" i="8" s="1"/>
  <c r="H7" i="8"/>
  <c r="I7" i="8" s="1"/>
  <c r="H6" i="8"/>
  <c r="H5" i="8"/>
  <c r="I5" i="8" s="1"/>
  <c r="H4" i="8"/>
  <c r="I4" i="8" s="1"/>
  <c r="H3" i="8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18" i="6"/>
  <c r="I18" i="6" s="1"/>
  <c r="H17" i="6"/>
  <c r="H16" i="6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I17" i="6" l="1"/>
  <c r="I16" i="6"/>
  <c r="I3" i="6"/>
  <c r="I15" i="8"/>
  <c r="I6" i="8"/>
  <c r="I18" i="8"/>
  <c r="I3" i="8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18" i="2"/>
  <c r="H17" i="2"/>
  <c r="I17" i="2" s="1"/>
  <c r="H16" i="2"/>
  <c r="I16" i="2" s="1"/>
  <c r="H15" i="2"/>
  <c r="I15" i="2" s="1"/>
  <c r="H14" i="2"/>
  <c r="H13" i="2"/>
  <c r="I13" i="2" s="1"/>
  <c r="H12" i="2"/>
  <c r="I12" i="2" s="1"/>
  <c r="H11" i="2"/>
  <c r="I11" i="2" s="1"/>
  <c r="H10" i="2"/>
  <c r="I10" i="2" s="1"/>
  <c r="H9" i="2"/>
  <c r="I9" i="2" s="1"/>
  <c r="H8" i="2"/>
  <c r="I8" i="2" s="1"/>
  <c r="H7" i="2"/>
  <c r="I7" i="2" s="1"/>
  <c r="H6" i="2"/>
  <c r="I6" i="2" s="1"/>
  <c r="H5" i="2"/>
  <c r="I5" i="2" s="1"/>
  <c r="H4" i="2"/>
  <c r="I4" i="2" s="1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3" i="1"/>
  <c r="C31" i="2"/>
  <c r="B8" i="11"/>
  <c r="B7" i="11"/>
  <c r="C28" i="2"/>
  <c r="C33" i="2"/>
  <c r="B10" i="11"/>
  <c r="B9" i="11"/>
  <c r="C34" i="2" l="1"/>
  <c r="C32" i="2"/>
  <c r="I18" i="2"/>
  <c r="C27" i="2"/>
  <c r="C26" i="2"/>
  <c r="C21" i="2"/>
  <c r="I3" i="2"/>
  <c r="I14" i="2"/>
  <c r="E28" i="2"/>
  <c r="E33" i="2"/>
  <c r="C10" i="11"/>
  <c r="C22" i="2" l="1"/>
  <c r="E32" i="2"/>
  <c r="E34" i="2"/>
  <c r="E21" i="2"/>
  <c r="E22" i="2" s="1"/>
  <c r="E26" i="2"/>
  <c r="E27" i="2"/>
  <c r="C9" i="11"/>
</calcChain>
</file>

<file path=xl/sharedStrings.xml><?xml version="1.0" encoding="utf-8"?>
<sst xmlns="http://schemas.openxmlformats.org/spreadsheetml/2006/main" count="678" uniqueCount="225">
  <si>
    <t>Team Pick Number</t>
  </si>
  <si>
    <t>Player Name</t>
  </si>
  <si>
    <t>Overall Pick Number</t>
  </si>
  <si>
    <t>Overall Position Pick Number</t>
  </si>
  <si>
    <t>Todd Gurley</t>
  </si>
  <si>
    <t>Keenan Allen</t>
  </si>
  <si>
    <t>Devante Adams</t>
  </si>
  <si>
    <t>Doug Baldwin</t>
  </si>
  <si>
    <t>Kenyan Drake</t>
  </si>
  <si>
    <t>Jay Ajayi</t>
  </si>
  <si>
    <t>Delanie Walker</t>
  </si>
  <si>
    <t>Emmanual Sanders</t>
  </si>
  <si>
    <t>Will Fuller</t>
  </si>
  <si>
    <t>Andrew Luck</t>
  </si>
  <si>
    <t>Kelvin Benjamin</t>
  </si>
  <si>
    <t>Jake Elliot</t>
  </si>
  <si>
    <t>Josh Doctson</t>
  </si>
  <si>
    <t>Kenny Golladay</t>
  </si>
  <si>
    <t>NO D/ST</t>
  </si>
  <si>
    <t xml:space="preserve">Week 7 Position Rank </t>
  </si>
  <si>
    <t>Draft Differential</t>
  </si>
  <si>
    <t>Total Draft Differential:</t>
  </si>
  <si>
    <t>Average Differential:</t>
  </si>
  <si>
    <t>Best Draft:</t>
  </si>
  <si>
    <t>Player Name Key</t>
  </si>
  <si>
    <t>Still on roster</t>
  </si>
  <si>
    <t>IR</t>
  </si>
  <si>
    <t>Dropped</t>
  </si>
  <si>
    <t>Traded</t>
  </si>
  <si>
    <t>Le'Veon Bell</t>
  </si>
  <si>
    <t>Devonte Freeman</t>
  </si>
  <si>
    <t>Travis Kelce</t>
  </si>
  <si>
    <t>Chris Hogan</t>
  </si>
  <si>
    <t>Michael Crabtree</t>
  </si>
  <si>
    <t>Duke Johnson</t>
  </si>
  <si>
    <t>Randall Cobb</t>
  </si>
  <si>
    <t>Rex Burkhead</t>
  </si>
  <si>
    <t>Robby Anderson</t>
  </si>
  <si>
    <t>Pierre Garcon</t>
  </si>
  <si>
    <t>Justin Tucker</t>
  </si>
  <si>
    <t>Min D/ST</t>
  </si>
  <si>
    <t>Theo Riddick</t>
  </si>
  <si>
    <t>Danny Amendola</t>
  </si>
  <si>
    <t>Martavius Bryant</t>
  </si>
  <si>
    <t>Count</t>
  </si>
  <si>
    <t>Worst Draft (Overall):</t>
  </si>
  <si>
    <t>Worst Draft Not on IR:</t>
  </si>
  <si>
    <t>David Johnson</t>
  </si>
  <si>
    <t>A.J. Green</t>
  </si>
  <si>
    <t>Zach Ertz</t>
  </si>
  <si>
    <t>Jarvis Landry</t>
  </si>
  <si>
    <t>Carson Wentz</t>
  </si>
  <si>
    <t>Marshawn Lynch</t>
  </si>
  <si>
    <t>JuJu Smith-Schuster</t>
  </si>
  <si>
    <t>Devin Funchess</t>
  </si>
  <si>
    <t>Allen Hurns</t>
  </si>
  <si>
    <t>Chris Thompson</t>
  </si>
  <si>
    <t>Peyton Barber</t>
  </si>
  <si>
    <t>Will Lutz</t>
  </si>
  <si>
    <t>NE D/ST</t>
  </si>
  <si>
    <t>Dak Prescott</t>
  </si>
  <si>
    <t>Ezekiel Elliot</t>
  </si>
  <si>
    <t>Christain McCaffry</t>
  </si>
  <si>
    <t>LeSean McCoy</t>
  </si>
  <si>
    <t>Tom Brady</t>
  </si>
  <si>
    <t>Demaryus Thomas</t>
  </si>
  <si>
    <t>Robert Woods</t>
  </si>
  <si>
    <t>Isiah Crowell</t>
  </si>
  <si>
    <t>Julian Edelman</t>
  </si>
  <si>
    <t>Chris Carson</t>
  </si>
  <si>
    <t>Kyle Rudolph</t>
  </si>
  <si>
    <t>Mohamed Sanu</t>
  </si>
  <si>
    <t>Giovani Bernard</t>
  </si>
  <si>
    <t>Paul Richardson</t>
  </si>
  <si>
    <t>Tyler Lockett</t>
  </si>
  <si>
    <t>Dez Bryant</t>
  </si>
  <si>
    <t>Total Current Differential:</t>
  </si>
  <si>
    <t>Total Dropped Differntial:</t>
  </si>
  <si>
    <t>Average Dropped Differential:</t>
  </si>
  <si>
    <t>Total Traded Differential:</t>
  </si>
  <si>
    <t>Average Current Differential:</t>
  </si>
  <si>
    <t>Average Traded Differential:</t>
  </si>
  <si>
    <t>Saquan Barkley</t>
  </si>
  <si>
    <t>Michael Thomas</t>
  </si>
  <si>
    <t>Mike Evans</t>
  </si>
  <si>
    <t>Aaron Rodgers</t>
  </si>
  <si>
    <t>Derrick Henry</t>
  </si>
  <si>
    <t>Amari Cooper</t>
  </si>
  <si>
    <t>Allen Robinson</t>
  </si>
  <si>
    <t>Sony Michel</t>
  </si>
  <si>
    <t>Tevin Coleman</t>
  </si>
  <si>
    <t>Nelson Agholor</t>
  </si>
  <si>
    <t>Trey Burton</t>
  </si>
  <si>
    <t>Ty Montgomery</t>
  </si>
  <si>
    <t>Devante Parker</t>
  </si>
  <si>
    <t>Bal D/ST</t>
  </si>
  <si>
    <t>Mason Crosby</t>
  </si>
  <si>
    <t>Cameron Brate</t>
  </si>
  <si>
    <t>Alvin Kamara</t>
  </si>
  <si>
    <t>Rob Gronkowski</t>
  </si>
  <si>
    <t>Stefon Diggs</t>
  </si>
  <si>
    <t>Golden Tate</t>
  </si>
  <si>
    <t>Alshon Jeffery</t>
  </si>
  <si>
    <t>Royce Freeman</t>
  </si>
  <si>
    <t>Jimmy Graham</t>
  </si>
  <si>
    <t>Tarik Cohen</t>
  </si>
  <si>
    <t>Cooper Kupp</t>
  </si>
  <si>
    <t>Matt Ryan</t>
  </si>
  <si>
    <t>Corey Clement</t>
  </si>
  <si>
    <t>Matt Prater</t>
  </si>
  <si>
    <t>Jack Doyle</t>
  </si>
  <si>
    <t>Calvin Ridley</t>
  </si>
  <si>
    <t>Darren Sproles</t>
  </si>
  <si>
    <t>Leonard Fournette</t>
  </si>
  <si>
    <t>DeAndre Hopkins</t>
  </si>
  <si>
    <t>Tyreek Hill</t>
  </si>
  <si>
    <t>Mark Ingram</t>
  </si>
  <si>
    <t>Russell Wilson</t>
  </si>
  <si>
    <t>Josh Gordon</t>
  </si>
  <si>
    <t>Jordy Nelson</t>
  </si>
  <si>
    <t>Marlon Mack</t>
  </si>
  <si>
    <t>Rashaad Penny</t>
  </si>
  <si>
    <t>CJ Anderson</t>
  </si>
  <si>
    <t>George Kittle</t>
  </si>
  <si>
    <t>Matt Bryant</t>
  </si>
  <si>
    <t>Jared Goff</t>
  </si>
  <si>
    <t>Austin Hooper</t>
  </si>
  <si>
    <t>Mike Wallace</t>
  </si>
  <si>
    <t>Antonio Brown</t>
  </si>
  <si>
    <t>Dalvin Cook</t>
  </si>
  <si>
    <t>Jerick McKinnon</t>
  </si>
  <si>
    <t>TY Hilton</t>
  </si>
  <si>
    <t>Alex Colins</t>
  </si>
  <si>
    <t>Drew Brees</t>
  </si>
  <si>
    <t>Evan Engram</t>
  </si>
  <si>
    <t>Corey Davis</t>
  </si>
  <si>
    <t>Sammy Watkins</t>
  </si>
  <si>
    <t>Kerryon Johnson</t>
  </si>
  <si>
    <t>Jamaal Williams</t>
  </si>
  <si>
    <t>Sterling Shepard</t>
  </si>
  <si>
    <t>LAC D/ST</t>
  </si>
  <si>
    <t>LAR D/ST</t>
  </si>
  <si>
    <t>Bilal Powell</t>
  </si>
  <si>
    <t>DeShean Jackson</t>
  </si>
  <si>
    <t>Chris Boswell</t>
  </si>
  <si>
    <t>Julio Jones</t>
  </si>
  <si>
    <t>Melvin Gordon</t>
  </si>
  <si>
    <t>Adam Thielen</t>
  </si>
  <si>
    <t>Joe Mixon</t>
  </si>
  <si>
    <t>Ben Rothlisberger</t>
  </si>
  <si>
    <t>Greg Olsen</t>
  </si>
  <si>
    <t>Kirk Cousins</t>
  </si>
  <si>
    <t>Lamar Miller</t>
  </si>
  <si>
    <t>Jamison Crowder</t>
  </si>
  <si>
    <t>Carlos Hyde</t>
  </si>
  <si>
    <t>Kenny Stills</t>
  </si>
  <si>
    <t>Stephen Gostkowski</t>
  </si>
  <si>
    <t>Nick Chubb</t>
  </si>
  <si>
    <t>David Njoku</t>
  </si>
  <si>
    <t>Kareem Hunt</t>
  </si>
  <si>
    <t>Odell Beckham Jr.</t>
  </si>
  <si>
    <t>Larry Fitzgerald</t>
  </si>
  <si>
    <t>Jordan Howard</t>
  </si>
  <si>
    <t>Deshaun Watson</t>
  </si>
  <si>
    <t>Brandon Cooks</t>
  </si>
  <si>
    <t>Jordan Reed</t>
  </si>
  <si>
    <t>Dion Lewis</t>
  </si>
  <si>
    <t>Phi D/ST</t>
  </si>
  <si>
    <t>Marquise Goodwin</t>
  </si>
  <si>
    <t>Greg Zuerlein</t>
  </si>
  <si>
    <t>Jimmy Garoppolo</t>
  </si>
  <si>
    <t>Adrian Peterson</t>
  </si>
  <si>
    <t>Marqise Lee</t>
  </si>
  <si>
    <t>DJ Moore</t>
  </si>
  <si>
    <t>Latavius Murray</t>
  </si>
  <si>
    <t>Cam Newton</t>
  </si>
  <si>
    <t>Position</t>
  </si>
  <si>
    <t>RB</t>
  </si>
  <si>
    <t>TE</t>
  </si>
  <si>
    <t>WR</t>
  </si>
  <si>
    <t>QB</t>
  </si>
  <si>
    <t>K</t>
  </si>
  <si>
    <t>D/ST</t>
  </si>
  <si>
    <t>Weighted Differential</t>
  </si>
  <si>
    <t>Marvin Jones</t>
  </si>
  <si>
    <t>Raw</t>
  </si>
  <si>
    <t>Weighted</t>
  </si>
  <si>
    <t>Hou D/ST</t>
  </si>
  <si>
    <t>Den D/ST</t>
  </si>
  <si>
    <t>Could have had instead:</t>
  </si>
  <si>
    <t>Average Points</t>
  </si>
  <si>
    <t>Jax D/ST</t>
  </si>
  <si>
    <t>Ronald Jones II</t>
  </si>
  <si>
    <t>LeGarrette Blount</t>
  </si>
  <si>
    <t>Could have had at same position:</t>
  </si>
  <si>
    <t>James White</t>
  </si>
  <si>
    <t>Average Points:</t>
  </si>
  <si>
    <t>Best Scorer:</t>
  </si>
  <si>
    <t>Worst Scorer:</t>
  </si>
  <si>
    <t>Annie</t>
  </si>
  <si>
    <t>Alie</t>
  </si>
  <si>
    <t>Tim</t>
  </si>
  <si>
    <t>Paul</t>
  </si>
  <si>
    <t>Wes</t>
  </si>
  <si>
    <t>Anthony</t>
  </si>
  <si>
    <t>Jake</t>
  </si>
  <si>
    <t>Devon</t>
  </si>
  <si>
    <t>Sheila</t>
  </si>
  <si>
    <t>Colin</t>
  </si>
  <si>
    <t>Differential</t>
  </si>
  <si>
    <t>2018 Mid Year Draft Report That No One Asked For</t>
  </si>
  <si>
    <t>Best Scoring Draft:</t>
  </si>
  <si>
    <t>Worst Scoring Draft:</t>
  </si>
  <si>
    <t>Lowest Diff of Players Still on the Roster:</t>
  </si>
  <si>
    <t>Highest Diff of Players Still on the Roster:</t>
  </si>
  <si>
    <t>Best Overall Draft Differential:</t>
  </si>
  <si>
    <t>Worst Overall Draft Differential:</t>
  </si>
  <si>
    <t>Highest Diff of Players Dropped (Bad Move):</t>
  </si>
  <si>
    <t>Lowest Diff of Players Dropped (Good Move):</t>
  </si>
  <si>
    <t>Highest Diff of Players Traded (Bad Move):</t>
  </si>
  <si>
    <t>Lowest Diff of Players Traded (Good Move):</t>
  </si>
  <si>
    <t>Lowest Differential of Single Pick (Good):</t>
  </si>
  <si>
    <t>Highest Differential of a Single Pick (Bad):</t>
  </si>
  <si>
    <t>Biggest Steal Per Round</t>
  </si>
  <si>
    <t>Biggest Bust Per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</si>
</sst>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0" tint="-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0343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6" borderId="1" xfId="0" applyFill="1" applyBorder="1" applyAlignment="1">
      <alignment horizontal="left" vertical="center" indent="1"/>
    </xf>
    <xf numFmtId="0" fontId="0" fillId="5" borderId="1" xfId="0" applyFill="1" applyBorder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1" fillId="0" borderId="0" xfId="0" applyFont="1"/>
    <xf numFmtId="0" fontId="4" fillId="7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8" borderId="1" xfId="0" applyFill="1" applyBorder="1" applyAlignment="1">
      <alignment horizontal="left" vertical="center" indent="1"/>
    </xf>
    <xf numFmtId="0" fontId="0" fillId="0" borderId="1" xfId="0" applyBorder="1" applyAlignment="1">
      <alignment horizontal="right" vertical="center"/>
    </xf>
    <xf numFmtId="0" fontId="5" fillId="5" borderId="1" xfId="0" applyFont="1" applyFill="1" applyBorder="1" applyAlignment="1">
      <alignment horizontal="left" vertical="center" indent="1"/>
    </xf>
    <xf numFmtId="0" fontId="0" fillId="6" borderId="0" xfId="0" applyFill="1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0" fontId="0" fillId="8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0" fillId="2" borderId="1" xfId="0" applyFill="1" applyBorder="1" applyAlignment="1">
      <alignment horizontal="right" vertical="center"/>
    </xf>
    <xf numFmtId="164" fontId="0" fillId="3" borderId="1" xfId="0" applyNumberFormat="1" applyFill="1" applyBorder="1" applyAlignment="1">
      <alignment horizontal="left" vertical="center" indent="1"/>
    </xf>
    <xf numFmtId="0" fontId="0" fillId="0" borderId="1" xfId="0" applyFill="1" applyBorder="1" applyAlignment="1">
      <alignment horizontal="left" vertical="center" indent="1"/>
    </xf>
    <xf numFmtId="164" fontId="0" fillId="0" borderId="1" xfId="0" applyNumberFormat="1" applyFill="1" applyBorder="1" applyAlignment="1">
      <alignment horizontal="left" vertical="center" indent="1"/>
    </xf>
    <xf numFmtId="0" fontId="5" fillId="0" borderId="1" xfId="0" applyFont="1" applyFill="1" applyBorder="1" applyAlignment="1">
      <alignment horizontal="left" vertical="center" indent="1"/>
    </xf>
    <xf numFmtId="165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horizontal="right" vertical="center"/>
    </xf>
    <xf numFmtId="0" fontId="0" fillId="0" borderId="0" xfId="0" applyFill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Alignment="1">
      <alignment horizontal="left" vertical="center" inden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center" vertical="center"/>
    </xf>
    <xf numFmtId="164" fontId="0" fillId="0" borderId="0" xfId="0" applyNumberFormat="1" applyAlignment="1">
      <alignment horizontal="left" vertical="center" indent="1"/>
    </xf>
    <xf numFmtId="0" fontId="2" fillId="7" borderId="0" xfId="0" applyFont="1" applyFill="1" applyAlignment="1">
      <alignment horizontal="right" vertical="center" indent="1"/>
    </xf>
    <xf numFmtId="0" fontId="4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left" vertical="center" indent="1"/>
    </xf>
    <xf numFmtId="164" fontId="0" fillId="0" borderId="0" xfId="0" applyNumberFormat="1" applyFill="1" applyAlignment="1">
      <alignment horizontal="right" vertical="center"/>
    </xf>
    <xf numFmtId="165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/>
    <xf numFmtId="164" fontId="0" fillId="0" borderId="0" xfId="0" applyNumberFormat="1" applyFill="1" applyAlignment="1">
      <alignment horizontal="right"/>
    </xf>
    <xf numFmtId="164" fontId="0" fillId="0" borderId="0" xfId="0" applyNumberFormat="1" applyFill="1"/>
    <xf numFmtId="0" fontId="8" fillId="0" borderId="0" xfId="0" applyFont="1" applyFill="1" applyAlignment="1">
      <alignment horizontal="center" vertical="center"/>
    </xf>
    <xf numFmtId="0" fontId="4" fillId="7" borderId="0" xfId="0" applyFont="1" applyFill="1" applyAlignment="1">
      <alignment vertical="center"/>
    </xf>
    <xf numFmtId="164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right" vertical="center"/>
    </xf>
    <xf numFmtId="0" fontId="8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0" fontId="0" fillId="9" borderId="0" xfId="0" applyFill="1" applyAlignment="1">
      <alignment horizontal="left" vertical="center" indent="1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4" fillId="7" borderId="0" xfId="0" applyFont="1" applyFill="1" applyAlignment="1">
      <alignment horizontal="center" vertical="center" wrapText="1"/>
    </xf>
    <xf numFmtId="164" fontId="0" fillId="0" borderId="1" xfId="0" applyNumberFormat="1" applyBorder="1" applyAlignment="1">
      <alignment horizontal="right" vertical="center"/>
    </xf>
    <xf numFmtId="165" fontId="0" fillId="0" borderId="1" xfId="0" applyNumberFormat="1" applyBorder="1" applyAlignment="1">
      <alignment vertical="center"/>
    </xf>
    <xf numFmtId="0" fontId="0" fillId="9" borderId="1" xfId="0" applyFill="1" applyBorder="1" applyAlignment="1">
      <alignment wrapText="1"/>
    </xf>
    <xf numFmtId="0" fontId="6" fillId="7" borderId="0" xfId="0" applyFont="1" applyFill="1" applyAlignment="1">
      <alignment horizontal="center" vertical="center"/>
    </xf>
    <xf numFmtId="0" fontId="0" fillId="9" borderId="1" xfId="0" applyFill="1" applyBorder="1" applyAlignment="1">
      <alignment vertical="center"/>
    </xf>
    <xf numFmtId="0" fontId="4" fillId="7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30"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  <dxf>
      <font>
        <strike val="0"/>
      </font>
      <fill>
        <patternFill>
          <bgColor rgb="FFFF0000"/>
        </patternFill>
      </fill>
    </dxf>
    <dxf>
      <font>
        <strike val="0"/>
      </font>
      <fill>
        <patternFill>
          <bgColor theme="9" tint="-0.24994659260841701"/>
        </patternFill>
      </fill>
    </dxf>
    <dxf>
      <font>
        <strike val="0"/>
      </font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E034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6"/>
  <sheetViews>
    <sheetView tabSelected="1" zoomScale="70" zoomScaleNormal="70" workbookViewId="0">
      <selection activeCell="J27" sqref="J27"/>
    </sheetView>
  </sheetViews>
  <sheetFormatPr defaultRowHeight="15" x14ac:dyDescent="0.25"/>
  <cols>
    <col min="1" max="1" width="10.7109375" customWidth="1"/>
    <col min="2" max="2" width="33.5703125" customWidth="1"/>
    <col min="3" max="3" width="11.7109375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1.85546875" customWidth="1"/>
    <col min="12" max="12" width="35.7109375" bestFit="1" customWidth="1"/>
    <col min="13" max="13" width="35.28515625" customWidth="1"/>
  </cols>
  <sheetData>
    <row r="1" spans="1:12" ht="22.5" customHeight="1" x14ac:dyDescent="0.25">
      <c r="A1" s="59" t="s">
        <v>199</v>
      </c>
      <c r="B1" s="59"/>
      <c r="C1" s="59"/>
      <c r="D1" s="59"/>
      <c r="E1" s="59"/>
      <c r="F1" s="59"/>
      <c r="G1" s="59"/>
      <c r="H1" s="59"/>
      <c r="I1" s="59"/>
    </row>
    <row r="2" spans="1:12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2" ht="21" customHeight="1" x14ac:dyDescent="0.25">
      <c r="A3" s="7">
        <v>1</v>
      </c>
      <c r="B3" s="4" t="s">
        <v>29</v>
      </c>
      <c r="C3" s="21" t="s">
        <v>177</v>
      </c>
      <c r="D3" s="1">
        <v>1</v>
      </c>
      <c r="E3" s="1">
        <v>1</v>
      </c>
      <c r="F3" s="1">
        <v>118</v>
      </c>
      <c r="G3" s="24">
        <v>0</v>
      </c>
      <c r="H3" s="2">
        <f>E3-F3</f>
        <v>-117</v>
      </c>
      <c r="I3" s="2">
        <f>ROUND(IF(C3="WR", H3, IF(C3="RB", H3*1.326, IF(C3="QB", H3*3.145, IF(C3="TE", H3*3.495, IF(C3="K", H3*8.65, IF(C3="D/ST", H3*10.813, "ERROR")))))),0)</f>
        <v>-155</v>
      </c>
      <c r="K3" s="16" t="s">
        <v>25</v>
      </c>
      <c r="L3" s="30">
        <f ca="1">CountCellsByColor(B3:B18,K3)</f>
        <v>6</v>
      </c>
    </row>
    <row r="4" spans="1:12" ht="21" customHeight="1" x14ac:dyDescent="0.25">
      <c r="A4" s="7">
        <v>2</v>
      </c>
      <c r="B4" s="6" t="s">
        <v>30</v>
      </c>
      <c r="C4" s="21" t="s">
        <v>177</v>
      </c>
      <c r="D4" s="1">
        <v>20</v>
      </c>
      <c r="E4" s="1">
        <v>9</v>
      </c>
      <c r="F4" s="1">
        <v>79</v>
      </c>
      <c r="G4" s="24">
        <v>1.4</v>
      </c>
      <c r="H4" s="3">
        <f t="shared" ref="H4:H18" si="0">E4-F4</f>
        <v>-70</v>
      </c>
      <c r="I4" s="3">
        <f t="shared" ref="I4:I18" si="1">ROUND(IF(C4="WR", H4, IF(C4="RB", H4*1.326, IF(C4="QB", H4*3.145, IF(C4="TE", H4*3.495, IF(C4="K", H4*8.65, IF(C4="D/ST", H4*10.813, "ERROR")))))),0)</f>
        <v>-93</v>
      </c>
      <c r="K4" s="17" t="s">
        <v>27</v>
      </c>
      <c r="L4" s="30">
        <f ca="1">CountCellsByColor(B3:B18,K4)</f>
        <v>9</v>
      </c>
    </row>
    <row r="5" spans="1:12" ht="21" customHeight="1" x14ac:dyDescent="0.25">
      <c r="A5" s="7">
        <v>3</v>
      </c>
      <c r="B5" s="4" t="s">
        <v>31</v>
      </c>
      <c r="C5" s="21" t="s">
        <v>178</v>
      </c>
      <c r="D5" s="1">
        <v>21</v>
      </c>
      <c r="E5" s="1">
        <v>2</v>
      </c>
      <c r="F5" s="1">
        <v>2</v>
      </c>
      <c r="G5" s="24">
        <v>12.9</v>
      </c>
      <c r="H5" s="3">
        <f t="shared" si="0"/>
        <v>0</v>
      </c>
      <c r="I5" s="3">
        <f t="shared" si="1"/>
        <v>0</v>
      </c>
      <c r="K5" s="18" t="s">
        <v>26</v>
      </c>
      <c r="L5" s="30">
        <f ca="1">CountCellsByColor(B3:B18,K5)</f>
        <v>1</v>
      </c>
    </row>
    <row r="6" spans="1:12" ht="21" customHeight="1" x14ac:dyDescent="0.25">
      <c r="A6" s="7">
        <v>4</v>
      </c>
      <c r="B6" s="12" t="s">
        <v>32</v>
      </c>
      <c r="C6" s="21" t="s">
        <v>179</v>
      </c>
      <c r="D6" s="1">
        <v>40</v>
      </c>
      <c r="E6" s="1">
        <v>18</v>
      </c>
      <c r="F6" s="1">
        <v>55</v>
      </c>
      <c r="G6" s="24">
        <v>6.9</v>
      </c>
      <c r="H6" s="3">
        <f t="shared" si="0"/>
        <v>-37</v>
      </c>
      <c r="I6" s="3">
        <f t="shared" si="1"/>
        <v>-37</v>
      </c>
      <c r="K6" s="15" t="s">
        <v>28</v>
      </c>
      <c r="L6" s="30">
        <f ca="1">CountCellsByColor(B3:B18,K6)</f>
        <v>0</v>
      </c>
    </row>
    <row r="7" spans="1:12" ht="21" customHeight="1" x14ac:dyDescent="0.25">
      <c r="A7" s="7">
        <v>5</v>
      </c>
      <c r="B7" s="20" t="s">
        <v>175</v>
      </c>
      <c r="C7" s="22" t="s">
        <v>180</v>
      </c>
      <c r="D7" s="1">
        <v>41</v>
      </c>
      <c r="E7" s="1">
        <v>3</v>
      </c>
      <c r="F7" s="1">
        <v>7</v>
      </c>
      <c r="G7" s="24">
        <v>22.5</v>
      </c>
      <c r="H7" s="3">
        <f t="shared" si="0"/>
        <v>-4</v>
      </c>
      <c r="I7" s="3">
        <f t="shared" si="1"/>
        <v>-13</v>
      </c>
    </row>
    <row r="8" spans="1:12" ht="21" customHeight="1" x14ac:dyDescent="0.25">
      <c r="A8" s="7">
        <v>6</v>
      </c>
      <c r="B8" s="4" t="s">
        <v>33</v>
      </c>
      <c r="C8" s="21" t="s">
        <v>179</v>
      </c>
      <c r="D8" s="1">
        <v>60</v>
      </c>
      <c r="E8" s="1">
        <v>25</v>
      </c>
      <c r="F8" s="1">
        <v>31</v>
      </c>
      <c r="G8" s="24">
        <v>9.5</v>
      </c>
      <c r="H8" s="2">
        <f t="shared" si="0"/>
        <v>-6</v>
      </c>
      <c r="I8" s="2">
        <f t="shared" si="1"/>
        <v>-6</v>
      </c>
    </row>
    <row r="9" spans="1:12" ht="21" customHeight="1" x14ac:dyDescent="0.25">
      <c r="A9" s="7">
        <v>7</v>
      </c>
      <c r="B9" s="12" t="s">
        <v>34</v>
      </c>
      <c r="C9" s="21" t="s">
        <v>177</v>
      </c>
      <c r="D9" s="1">
        <v>61</v>
      </c>
      <c r="E9" s="1">
        <v>24</v>
      </c>
      <c r="F9" s="1">
        <v>48</v>
      </c>
      <c r="G9" s="24">
        <v>5.0999999999999996</v>
      </c>
      <c r="H9" s="3">
        <f t="shared" si="0"/>
        <v>-24</v>
      </c>
      <c r="I9" s="3">
        <f t="shared" si="1"/>
        <v>-32</v>
      </c>
    </row>
    <row r="10" spans="1:12" ht="21" customHeight="1" x14ac:dyDescent="0.25">
      <c r="A10" s="7">
        <v>8</v>
      </c>
      <c r="B10" s="4" t="s">
        <v>35</v>
      </c>
      <c r="C10" s="21" t="s">
        <v>179</v>
      </c>
      <c r="D10" s="1">
        <v>80</v>
      </c>
      <c r="E10" s="1">
        <v>34</v>
      </c>
      <c r="F10" s="1">
        <v>79</v>
      </c>
      <c r="G10" s="24">
        <v>5.3</v>
      </c>
      <c r="H10" s="3">
        <f t="shared" si="0"/>
        <v>-45</v>
      </c>
      <c r="I10" s="3">
        <f t="shared" si="1"/>
        <v>-45</v>
      </c>
    </row>
    <row r="11" spans="1:12" ht="21" customHeight="1" x14ac:dyDescent="0.25">
      <c r="A11" s="7">
        <v>9</v>
      </c>
      <c r="B11" s="12" t="s">
        <v>36</v>
      </c>
      <c r="C11" s="21" t="s">
        <v>177</v>
      </c>
      <c r="D11" s="1">
        <v>81</v>
      </c>
      <c r="E11" s="1">
        <v>31</v>
      </c>
      <c r="F11" s="1">
        <v>75</v>
      </c>
      <c r="G11" s="24">
        <v>1.6</v>
      </c>
      <c r="H11" s="3">
        <f t="shared" si="0"/>
        <v>-44</v>
      </c>
      <c r="I11" s="3">
        <f t="shared" si="1"/>
        <v>-58</v>
      </c>
    </row>
    <row r="12" spans="1:12" ht="21" customHeight="1" x14ac:dyDescent="0.25">
      <c r="A12" s="7">
        <v>10</v>
      </c>
      <c r="B12" s="12" t="s">
        <v>37</v>
      </c>
      <c r="C12" s="21" t="s">
        <v>179</v>
      </c>
      <c r="D12" s="1">
        <v>100</v>
      </c>
      <c r="E12" s="1">
        <v>43</v>
      </c>
      <c r="F12" s="1">
        <v>52</v>
      </c>
      <c r="G12" s="24">
        <v>7.2</v>
      </c>
      <c r="H12" s="3">
        <f t="shared" si="0"/>
        <v>-9</v>
      </c>
      <c r="I12" s="3">
        <f t="shared" si="1"/>
        <v>-9</v>
      </c>
    </row>
    <row r="13" spans="1:12" ht="21" customHeight="1" x14ac:dyDescent="0.25">
      <c r="A13" s="7">
        <v>11</v>
      </c>
      <c r="B13" s="12" t="s">
        <v>38</v>
      </c>
      <c r="C13" s="21" t="s">
        <v>179</v>
      </c>
      <c r="D13" s="1">
        <v>101</v>
      </c>
      <c r="E13" s="1">
        <v>44</v>
      </c>
      <c r="F13" s="1">
        <v>84</v>
      </c>
      <c r="G13" s="24">
        <v>4.4000000000000004</v>
      </c>
      <c r="H13" s="3">
        <f t="shared" si="0"/>
        <v>-40</v>
      </c>
      <c r="I13" s="3">
        <f t="shared" si="1"/>
        <v>-40</v>
      </c>
    </row>
    <row r="14" spans="1:12" ht="21" customHeight="1" x14ac:dyDescent="0.25">
      <c r="A14" s="7">
        <v>12</v>
      </c>
      <c r="B14" s="4" t="s">
        <v>39</v>
      </c>
      <c r="C14" s="21" t="s">
        <v>181</v>
      </c>
      <c r="D14" s="1">
        <v>120</v>
      </c>
      <c r="E14" s="1">
        <v>3</v>
      </c>
      <c r="F14" s="1">
        <v>6</v>
      </c>
      <c r="G14" s="24">
        <v>9.1</v>
      </c>
      <c r="H14" s="3">
        <f t="shared" si="0"/>
        <v>-3</v>
      </c>
      <c r="I14" s="3">
        <f t="shared" si="1"/>
        <v>-26</v>
      </c>
    </row>
    <row r="15" spans="1:12" ht="21" customHeight="1" x14ac:dyDescent="0.25">
      <c r="A15" s="7">
        <v>13</v>
      </c>
      <c r="B15" s="12" t="s">
        <v>40</v>
      </c>
      <c r="C15" s="21" t="s">
        <v>182</v>
      </c>
      <c r="D15" s="1">
        <v>121</v>
      </c>
      <c r="E15" s="1">
        <v>4</v>
      </c>
      <c r="F15" s="1">
        <v>5</v>
      </c>
      <c r="G15" s="24">
        <v>7.9</v>
      </c>
      <c r="H15" s="2">
        <f t="shared" si="0"/>
        <v>-1</v>
      </c>
      <c r="I15" s="2">
        <f t="shared" si="1"/>
        <v>-11</v>
      </c>
    </row>
    <row r="16" spans="1:12" ht="21" customHeight="1" x14ac:dyDescent="0.25">
      <c r="A16" s="7">
        <v>14</v>
      </c>
      <c r="B16" s="12" t="s">
        <v>41</v>
      </c>
      <c r="C16" s="21" t="s">
        <v>177</v>
      </c>
      <c r="D16" s="1">
        <v>140</v>
      </c>
      <c r="E16" s="1">
        <v>50</v>
      </c>
      <c r="F16" s="1">
        <v>59</v>
      </c>
      <c r="G16" s="24">
        <v>4.3</v>
      </c>
      <c r="H16" s="3">
        <f t="shared" si="0"/>
        <v>-9</v>
      </c>
      <c r="I16" s="3">
        <f t="shared" si="1"/>
        <v>-12</v>
      </c>
    </row>
    <row r="17" spans="1:9" ht="21" customHeight="1" x14ac:dyDescent="0.25">
      <c r="A17" s="7">
        <v>15</v>
      </c>
      <c r="B17" s="12" t="s">
        <v>42</v>
      </c>
      <c r="C17" s="21" t="s">
        <v>179</v>
      </c>
      <c r="D17" s="1">
        <v>141</v>
      </c>
      <c r="E17" s="1">
        <v>53</v>
      </c>
      <c r="F17" s="1">
        <v>57</v>
      </c>
      <c r="G17" s="24">
        <v>6.9</v>
      </c>
      <c r="H17" s="3">
        <f t="shared" si="0"/>
        <v>-4</v>
      </c>
      <c r="I17" s="3">
        <f t="shared" si="1"/>
        <v>-4</v>
      </c>
    </row>
    <row r="18" spans="1:9" ht="21" customHeight="1" x14ac:dyDescent="0.25">
      <c r="A18" s="7">
        <v>16</v>
      </c>
      <c r="B18" s="12" t="s">
        <v>43</v>
      </c>
      <c r="C18" s="21" t="s">
        <v>179</v>
      </c>
      <c r="D18" s="1">
        <v>160</v>
      </c>
      <c r="E18" s="1">
        <v>61</v>
      </c>
      <c r="F18" s="1">
        <v>92</v>
      </c>
      <c r="G18" s="24">
        <v>4.3</v>
      </c>
      <c r="H18" s="19">
        <f t="shared" si="0"/>
        <v>-31</v>
      </c>
      <c r="I18" s="19">
        <f t="shared" si="1"/>
        <v>-31</v>
      </c>
    </row>
    <row r="19" spans="1:9" ht="21" customHeight="1" x14ac:dyDescent="0.25"/>
    <row r="20" spans="1:9" ht="21" customHeight="1" x14ac:dyDescent="0.25">
      <c r="B20" s="8"/>
      <c r="C20" s="55" t="s">
        <v>185</v>
      </c>
      <c r="D20" s="55"/>
      <c r="E20" s="55" t="s">
        <v>186</v>
      </c>
      <c r="F20" s="55"/>
    </row>
    <row r="21" spans="1:9" ht="21" customHeight="1" x14ac:dyDescent="0.25">
      <c r="B21" s="35" t="s">
        <v>21</v>
      </c>
      <c r="C21" s="56">
        <f>SUM(H3:H18)</f>
        <v>-444</v>
      </c>
      <c r="D21" s="56"/>
      <c r="E21" s="56">
        <f>SUM(I3:I18)</f>
        <v>-572</v>
      </c>
      <c r="F21" s="56"/>
    </row>
    <row r="22" spans="1:9" ht="21" customHeight="1" x14ac:dyDescent="0.25">
      <c r="B22" s="35" t="s">
        <v>22</v>
      </c>
      <c r="C22" s="56">
        <f>C21/16</f>
        <v>-27.75</v>
      </c>
      <c r="D22" s="56"/>
      <c r="E22" s="56">
        <f>E21/16</f>
        <v>-35.75</v>
      </c>
      <c r="F22" s="56"/>
    </row>
    <row r="23" spans="1:9" ht="21" customHeight="1" x14ac:dyDescent="0.25">
      <c r="B23" s="35" t="s">
        <v>196</v>
      </c>
      <c r="C23" s="57">
        <f>AVERAGE(G3:G18)</f>
        <v>6.8312500000000007</v>
      </c>
      <c r="D23" s="57"/>
      <c r="E23" s="60"/>
      <c r="F23" s="60"/>
    </row>
    <row r="24" spans="1:9" ht="33" customHeight="1" x14ac:dyDescent="0.25">
      <c r="B24" s="35" t="s">
        <v>197</v>
      </c>
      <c r="C24" s="53" t="str">
        <f>INDEX(B3:B18,MATCH(MAX(G3:G18),G3:G18,0),1) &amp; " at " &amp; MAX(G3:G18) &amp; " average points."</f>
        <v>Cam Newton at 22.5 average points.</v>
      </c>
      <c r="D24" s="53"/>
      <c r="E24" s="58"/>
      <c r="F24" s="58"/>
    </row>
    <row r="25" spans="1:9" ht="33" customHeight="1" x14ac:dyDescent="0.25">
      <c r="B25" s="35" t="s">
        <v>198</v>
      </c>
      <c r="C25" s="53" t="str">
        <f>INDEX(B3:B18,MATCH(MIN(G3:G18),G3:G18,0),1) &amp; " at " &amp; MIN(G3:G18) &amp; " average points."</f>
        <v>Le'Veon Bell at 0 average points.</v>
      </c>
      <c r="D25" s="53"/>
      <c r="E25" s="58"/>
      <c r="F25" s="58"/>
    </row>
    <row r="26" spans="1:9" ht="33" customHeight="1" x14ac:dyDescent="0.25">
      <c r="B26" s="35" t="s">
        <v>23</v>
      </c>
      <c r="C26" s="53" t="str">
        <f>INDEX(B3:B18,MATCH(MAX(H3:H18),H3:H18,0),1) &amp; " at a " &amp; MAX(H3:H18) &amp; " differential."</f>
        <v>Travis Kelce at a 0 differential.</v>
      </c>
      <c r="D26" s="53"/>
      <c r="E26" s="53" t="str">
        <f>INDEX(B3:B18,MATCH(MAX(I3:I18),I3:I18,0),1) &amp; " at a " &amp; MAX(I3:I18) &amp; " differential."</f>
        <v>Travis Kelce at a 0 differential.</v>
      </c>
      <c r="F26" s="53"/>
      <c r="H26" s="30"/>
    </row>
    <row r="27" spans="1:9" ht="33" customHeight="1" x14ac:dyDescent="0.25">
      <c r="B27" s="35" t="s">
        <v>45</v>
      </c>
      <c r="C27" s="53" t="str">
        <f>INDEX(B3:B18,MATCH(MIN(H3:H18),H3:H18,0),1) &amp; " at a " &amp; MIN(H3:H18) &amp; " differential."</f>
        <v>Le'Veon Bell at a -117 differential.</v>
      </c>
      <c r="D27" s="53"/>
      <c r="E27" s="53" t="str">
        <f>INDEX(B3:B18,MATCH(MIN(I3:I18),I3:I18,0),1) &amp; " at a " &amp; MIN(I3:I18) &amp; " differential."</f>
        <v>Le'Veon Bell at a -155 differential.</v>
      </c>
      <c r="F27" s="53"/>
      <c r="H27" s="30"/>
    </row>
    <row r="28" spans="1:9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Le'Veon Bell at a -117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Le'Veon Bell at a -155 differential.</v>
      </c>
      <c r="F28" s="53"/>
      <c r="H28" s="30"/>
    </row>
    <row r="29" spans="1:9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 A1)</f>
        <v>Todd Gurley</v>
      </c>
      <c r="D29" s="53"/>
      <c r="E29" s="54" t="str">
        <f ca="1">GetBetterDraftPick(MinMinusCellColorOfRelatedRow(B3:B18, I3:I18, K5), INDEX(D3:D18,MATCH(MinMinusCellColorOfRelatedRow(B3:B18, I3:I18, K5),I3:I18,0),1), A1)</f>
        <v>Todd Gurley</v>
      </c>
      <c r="F29" s="54"/>
      <c r="H29" s="31"/>
    </row>
    <row r="30" spans="1:9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Todd Gurley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Todd Gurley</v>
      </c>
      <c r="F30" s="53"/>
      <c r="H30" s="30"/>
    </row>
    <row r="31" spans="1:9" ht="21" customHeight="1" x14ac:dyDescent="0.25">
      <c r="B31" s="35" t="s">
        <v>76</v>
      </c>
      <c r="C31" s="52">
        <f ca="1">SumCellsInRowByColor(B3:B18, H3:H18, K3)</f>
        <v>-175</v>
      </c>
      <c r="D31" s="52"/>
      <c r="E31" s="52">
        <f ca="1">SumCellsInRowByColor(B3:B18, I3:I18, K3)</f>
        <v>-245</v>
      </c>
      <c r="F31" s="52"/>
      <c r="H31" s="29"/>
    </row>
    <row r="32" spans="1:9" ht="21" customHeight="1" x14ac:dyDescent="0.25">
      <c r="B32" s="35" t="s">
        <v>80</v>
      </c>
      <c r="C32" s="52">
        <f ca="1">C31/L3</f>
        <v>-29.166666666666668</v>
      </c>
      <c r="D32" s="52"/>
      <c r="E32" s="52">
        <f ca="1">E31/L3</f>
        <v>-40.833333333333336</v>
      </c>
      <c r="F32" s="52"/>
      <c r="H32" s="29"/>
    </row>
    <row r="33" spans="2:8" ht="21" customHeight="1" x14ac:dyDescent="0.25">
      <c r="B33" s="35" t="s">
        <v>77</v>
      </c>
      <c r="C33" s="52">
        <f ca="1">SumCellsInRowByColor(B3:B18, H3:H18, K4)</f>
        <v>-199</v>
      </c>
      <c r="D33" s="52"/>
      <c r="E33" s="52">
        <f ca="1">SumCellsInRowByColor(B3:B18, I3:I18, K4)</f>
        <v>-234</v>
      </c>
      <c r="F33" s="52"/>
      <c r="H33" s="29"/>
    </row>
    <row r="34" spans="2:8" ht="21" customHeight="1" x14ac:dyDescent="0.25">
      <c r="B34" s="35" t="s">
        <v>78</v>
      </c>
      <c r="C34" s="52">
        <f ca="1">C33/L4</f>
        <v>-22.111111111111111</v>
      </c>
      <c r="D34" s="52"/>
      <c r="E34" s="52">
        <f ca="1">E33/L4</f>
        <v>-26</v>
      </c>
      <c r="F34" s="52"/>
      <c r="H34" s="29"/>
    </row>
    <row r="35" spans="2:8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  <c r="H35" s="29"/>
    </row>
    <row r="36" spans="2:8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  <c r="H36" s="29"/>
    </row>
  </sheetData>
  <mergeCells count="35">
    <mergeCell ref="E25:F25"/>
    <mergeCell ref="A1:I1"/>
    <mergeCell ref="E30:F30"/>
    <mergeCell ref="E31:F31"/>
    <mergeCell ref="E32:F32"/>
    <mergeCell ref="C31:D31"/>
    <mergeCell ref="C32:D32"/>
    <mergeCell ref="E20:F20"/>
    <mergeCell ref="E21:F21"/>
    <mergeCell ref="E22:F22"/>
    <mergeCell ref="E23:F23"/>
    <mergeCell ref="E24:F24"/>
    <mergeCell ref="C34:D34"/>
    <mergeCell ref="C35:D35"/>
    <mergeCell ref="C36:D36"/>
    <mergeCell ref="C20:D20"/>
    <mergeCell ref="C21:D21"/>
    <mergeCell ref="C22:D22"/>
    <mergeCell ref="C23:D23"/>
    <mergeCell ref="C24:D24"/>
    <mergeCell ref="C25:D25"/>
    <mergeCell ref="C27:D27"/>
    <mergeCell ref="C28:D28"/>
    <mergeCell ref="C29:D29"/>
    <mergeCell ref="C30:D30"/>
    <mergeCell ref="C26:D26"/>
    <mergeCell ref="C33:D33"/>
    <mergeCell ref="E36:F36"/>
    <mergeCell ref="E26:F26"/>
    <mergeCell ref="E27:F27"/>
    <mergeCell ref="E28:F28"/>
    <mergeCell ref="E29:F29"/>
    <mergeCell ref="E34:F34"/>
    <mergeCell ref="E35:F35"/>
    <mergeCell ref="E33:F33"/>
  </mergeCells>
  <conditionalFormatting sqref="H3:I18">
    <cfRule type="cellIs" dxfId="29" priority="1" operator="equal">
      <formula>0</formula>
    </cfRule>
    <cfRule type="cellIs" dxfId="28" priority="2" operator="greaterThan">
      <formula>0</formula>
    </cfRule>
    <cfRule type="cellIs" dxfId="27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6"/>
  <sheetViews>
    <sheetView zoomScale="70" zoomScaleNormal="70" workbookViewId="0">
      <selection activeCell="K20" sqref="K20"/>
    </sheetView>
  </sheetViews>
  <sheetFormatPr defaultRowHeight="15" x14ac:dyDescent="0.25"/>
  <cols>
    <col min="1" max="1" width="10.7109375" customWidth="1"/>
    <col min="2" max="2" width="34.140625" bestFit="1" customWidth="1"/>
    <col min="3" max="3" width="11" bestFit="1" customWidth="1"/>
    <col min="4" max="4" width="13.7109375" customWidth="1"/>
    <col min="5" max="5" width="14.85546875" customWidth="1"/>
    <col min="6" max="8" width="14.57031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1" customFormat="1" ht="22.5" customHeight="1" x14ac:dyDescent="0.25">
      <c r="A1" s="59" t="s">
        <v>200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47</v>
      </c>
      <c r="C3" s="21" t="s">
        <v>177</v>
      </c>
      <c r="D3" s="1">
        <v>2</v>
      </c>
      <c r="E3" s="1">
        <v>2</v>
      </c>
      <c r="F3" s="1">
        <v>10</v>
      </c>
      <c r="G3" s="24">
        <v>12.4</v>
      </c>
      <c r="H3" s="2">
        <f>E3-F3</f>
        <v>-8</v>
      </c>
      <c r="I3" s="2">
        <f>ROUND(IF(C3="WR", H3, IF(C3="RB", H3*1.326, IF(C3="QB", H3*3.145, IF(C3="TE", H3*3.495, IF(C3="K", H3*8.65, IF(C3="D/ST", H3*10.813, "ERROR")))))),0)</f>
        <v>-11</v>
      </c>
      <c r="K3" s="16" t="s">
        <v>25</v>
      </c>
      <c r="L3" s="11">
        <f ca="1">CountCellsByColor(B3:B18,K3)</f>
        <v>15</v>
      </c>
    </row>
    <row r="4" spans="1:13" ht="21" customHeight="1" x14ac:dyDescent="0.25">
      <c r="A4" s="7">
        <v>2</v>
      </c>
      <c r="B4" s="4" t="s">
        <v>48</v>
      </c>
      <c r="C4" s="21" t="s">
        <v>179</v>
      </c>
      <c r="D4" s="1">
        <v>19</v>
      </c>
      <c r="E4" s="1">
        <v>7</v>
      </c>
      <c r="F4" s="1">
        <v>7</v>
      </c>
      <c r="G4" s="24">
        <v>15</v>
      </c>
      <c r="H4" s="3">
        <f t="shared" ref="H4:H18" si="0">E4-F4</f>
        <v>0</v>
      </c>
      <c r="I4" s="3">
        <f t="shared" ref="I4:I18" si="1">ROUND(IF(C4="WR", H4, IF(C4="RB", H4*1.326, IF(C4="QB", H4*3.145, IF(C4="TE", H4*3.495, IF(C4="K", H4*8.65, IF(C4="D/ST", H4*10.813, "ERROR")))))),0)</f>
        <v>0</v>
      </c>
      <c r="K4" s="17" t="s">
        <v>27</v>
      </c>
      <c r="L4" s="11">
        <f ca="1">CountCellsByColor(B3:B18,K4)</f>
        <v>1</v>
      </c>
    </row>
    <row r="5" spans="1:13" ht="21" customHeight="1" x14ac:dyDescent="0.25">
      <c r="A5" s="7">
        <v>3</v>
      </c>
      <c r="B5" s="4" t="s">
        <v>49</v>
      </c>
      <c r="C5" s="21" t="s">
        <v>178</v>
      </c>
      <c r="D5" s="1">
        <v>22</v>
      </c>
      <c r="E5" s="1">
        <v>3</v>
      </c>
      <c r="F5" s="1">
        <v>1</v>
      </c>
      <c r="G5" s="24">
        <v>14.2</v>
      </c>
      <c r="H5" s="3">
        <f t="shared" si="0"/>
        <v>2</v>
      </c>
      <c r="I5" s="3">
        <f t="shared" si="1"/>
        <v>7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50</v>
      </c>
      <c r="C6" s="21" t="s">
        <v>179</v>
      </c>
      <c r="D6" s="1">
        <v>39</v>
      </c>
      <c r="E6" s="1">
        <v>17</v>
      </c>
      <c r="F6" s="1">
        <v>22</v>
      </c>
      <c r="G6" s="24">
        <v>11.4</v>
      </c>
      <c r="H6" s="3">
        <f t="shared" si="0"/>
        <v>-5</v>
      </c>
      <c r="I6" s="3">
        <f t="shared" si="1"/>
        <v>-5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51</v>
      </c>
      <c r="C7" s="21" t="s">
        <v>180</v>
      </c>
      <c r="D7" s="1">
        <v>42</v>
      </c>
      <c r="E7" s="1">
        <v>4</v>
      </c>
      <c r="F7" s="1">
        <v>22</v>
      </c>
      <c r="G7" s="24">
        <v>13.1</v>
      </c>
      <c r="H7" s="3">
        <f t="shared" si="0"/>
        <v>-18</v>
      </c>
      <c r="I7" s="3">
        <f t="shared" si="1"/>
        <v>-57</v>
      </c>
      <c r="K7" s="36"/>
      <c r="L7" s="36"/>
      <c r="M7" s="36"/>
    </row>
    <row r="8" spans="1:13" ht="21" customHeight="1" x14ac:dyDescent="0.25">
      <c r="A8" s="7">
        <v>6</v>
      </c>
      <c r="B8" s="4" t="s">
        <v>52</v>
      </c>
      <c r="C8" s="21" t="s">
        <v>177</v>
      </c>
      <c r="D8" s="1">
        <v>59</v>
      </c>
      <c r="E8" s="1">
        <v>23</v>
      </c>
      <c r="F8" s="1">
        <v>21</v>
      </c>
      <c r="G8" s="24">
        <v>11.3</v>
      </c>
      <c r="H8" s="2">
        <f t="shared" si="0"/>
        <v>2</v>
      </c>
      <c r="I8" s="2">
        <f t="shared" si="1"/>
        <v>3</v>
      </c>
      <c r="K8" s="37"/>
      <c r="L8" s="38"/>
      <c r="M8" s="38"/>
    </row>
    <row r="9" spans="1:13" ht="21" customHeight="1" x14ac:dyDescent="0.25">
      <c r="A9" s="7">
        <v>7</v>
      </c>
      <c r="B9" s="4" t="s">
        <v>53</v>
      </c>
      <c r="C9" s="21" t="s">
        <v>179</v>
      </c>
      <c r="D9" s="1">
        <v>62</v>
      </c>
      <c r="E9" s="1">
        <v>26</v>
      </c>
      <c r="F9" s="1">
        <v>17</v>
      </c>
      <c r="G9" s="24">
        <v>14.8</v>
      </c>
      <c r="H9" s="3">
        <f t="shared" si="0"/>
        <v>9</v>
      </c>
      <c r="I9" s="3">
        <f t="shared" si="1"/>
        <v>9</v>
      </c>
      <c r="K9" s="37"/>
      <c r="L9" s="38"/>
      <c r="M9" s="38"/>
    </row>
    <row r="10" spans="1:13" ht="21" customHeight="1" x14ac:dyDescent="0.25">
      <c r="A10" s="7">
        <v>8</v>
      </c>
      <c r="B10" s="4" t="s">
        <v>54</v>
      </c>
      <c r="C10" s="21" t="s">
        <v>179</v>
      </c>
      <c r="D10" s="1">
        <v>79</v>
      </c>
      <c r="E10" s="1">
        <v>33</v>
      </c>
      <c r="F10" s="1">
        <v>30</v>
      </c>
      <c r="G10" s="24">
        <v>11.3</v>
      </c>
      <c r="H10" s="3">
        <f t="shared" si="0"/>
        <v>3</v>
      </c>
      <c r="I10" s="3">
        <f t="shared" si="1"/>
        <v>3</v>
      </c>
      <c r="K10" s="37"/>
      <c r="L10" s="39"/>
      <c r="M10" s="28"/>
    </row>
    <row r="11" spans="1:13" ht="21" customHeight="1" x14ac:dyDescent="0.25">
      <c r="A11" s="7">
        <v>9</v>
      </c>
      <c r="B11" s="4" t="s">
        <v>55</v>
      </c>
      <c r="C11" s="21" t="s">
        <v>179</v>
      </c>
      <c r="D11" s="1">
        <v>82</v>
      </c>
      <c r="E11" s="1">
        <v>35</v>
      </c>
      <c r="F11" s="1">
        <v>89</v>
      </c>
      <c r="G11" s="24">
        <v>3.8</v>
      </c>
      <c r="H11" s="3">
        <f t="shared" si="0"/>
        <v>-54</v>
      </c>
      <c r="I11" s="3">
        <f t="shared" si="1"/>
        <v>-54</v>
      </c>
      <c r="K11" s="37"/>
      <c r="L11" s="31"/>
      <c r="M11" s="31"/>
    </row>
    <row r="12" spans="1:13" ht="21" customHeight="1" x14ac:dyDescent="0.25">
      <c r="A12" s="7">
        <v>10</v>
      </c>
      <c r="B12" s="4" t="s">
        <v>56</v>
      </c>
      <c r="C12" s="21" t="s">
        <v>177</v>
      </c>
      <c r="D12" s="1">
        <v>99</v>
      </c>
      <c r="E12" s="1">
        <v>38</v>
      </c>
      <c r="F12" s="1">
        <v>35</v>
      </c>
      <c r="G12" s="24">
        <v>7.7</v>
      </c>
      <c r="H12" s="3">
        <f t="shared" si="0"/>
        <v>3</v>
      </c>
      <c r="I12" s="3">
        <f t="shared" si="1"/>
        <v>4</v>
      </c>
      <c r="K12" s="37"/>
      <c r="L12" s="31"/>
      <c r="M12" s="31"/>
    </row>
    <row r="13" spans="1:13" ht="21" customHeight="1" x14ac:dyDescent="0.25">
      <c r="A13" s="7">
        <v>11</v>
      </c>
      <c r="B13" s="4" t="s">
        <v>195</v>
      </c>
      <c r="C13" s="21" t="s">
        <v>177</v>
      </c>
      <c r="D13" s="1">
        <v>102</v>
      </c>
      <c r="E13" s="1">
        <v>39</v>
      </c>
      <c r="F13" s="1">
        <v>7</v>
      </c>
      <c r="G13" s="24">
        <v>16.399999999999999</v>
      </c>
      <c r="H13" s="3">
        <f t="shared" si="0"/>
        <v>32</v>
      </c>
      <c r="I13" s="3">
        <f t="shared" si="1"/>
        <v>42</v>
      </c>
      <c r="K13" s="37"/>
      <c r="L13" s="31"/>
      <c r="M13" s="31"/>
    </row>
    <row r="14" spans="1:13" ht="21" customHeight="1" x14ac:dyDescent="0.25">
      <c r="A14" s="7">
        <v>12</v>
      </c>
      <c r="B14" s="12" t="s">
        <v>57</v>
      </c>
      <c r="C14" s="21" t="s">
        <v>177</v>
      </c>
      <c r="D14" s="1">
        <v>119</v>
      </c>
      <c r="E14" s="1">
        <v>44</v>
      </c>
      <c r="F14" s="1">
        <v>53</v>
      </c>
      <c r="G14" s="24">
        <v>5.8</v>
      </c>
      <c r="H14" s="3">
        <f t="shared" si="0"/>
        <v>-9</v>
      </c>
      <c r="I14" s="3">
        <f t="shared" si="1"/>
        <v>-12</v>
      </c>
      <c r="K14" s="37"/>
      <c r="L14" s="31"/>
      <c r="M14" s="31"/>
    </row>
    <row r="15" spans="1:13" ht="21" customHeight="1" x14ac:dyDescent="0.25">
      <c r="A15" s="7">
        <v>13</v>
      </c>
      <c r="B15" s="4" t="s">
        <v>58</v>
      </c>
      <c r="C15" s="21" t="s">
        <v>181</v>
      </c>
      <c r="D15" s="1">
        <v>122</v>
      </c>
      <c r="E15" s="1">
        <v>4</v>
      </c>
      <c r="F15" s="1">
        <v>10</v>
      </c>
      <c r="G15" s="24">
        <v>9.6999999999999993</v>
      </c>
      <c r="H15" s="2">
        <f t="shared" si="0"/>
        <v>-6</v>
      </c>
      <c r="I15" s="2">
        <f t="shared" si="1"/>
        <v>-52</v>
      </c>
      <c r="K15" s="37"/>
      <c r="L15" s="31"/>
      <c r="M15" s="31"/>
    </row>
    <row r="16" spans="1:13" ht="21" customHeight="1" x14ac:dyDescent="0.25">
      <c r="A16" s="7">
        <v>14</v>
      </c>
      <c r="B16" s="4" t="s">
        <v>193</v>
      </c>
      <c r="C16" s="21" t="s">
        <v>177</v>
      </c>
      <c r="D16" s="1">
        <v>139</v>
      </c>
      <c r="E16" s="1">
        <v>49</v>
      </c>
      <c r="F16" s="1">
        <v>50</v>
      </c>
      <c r="G16" s="24">
        <v>5.9</v>
      </c>
      <c r="H16" s="3">
        <f t="shared" si="0"/>
        <v>-1</v>
      </c>
      <c r="I16" s="3">
        <f t="shared" si="1"/>
        <v>-1</v>
      </c>
      <c r="K16" s="37"/>
      <c r="L16" s="40"/>
      <c r="M16" s="40"/>
    </row>
    <row r="17" spans="1:13" ht="21" customHeight="1" x14ac:dyDescent="0.25">
      <c r="A17" s="7">
        <v>15</v>
      </c>
      <c r="B17" s="4" t="s">
        <v>59</v>
      </c>
      <c r="C17" s="21" t="s">
        <v>182</v>
      </c>
      <c r="D17" s="1">
        <v>142</v>
      </c>
      <c r="E17" s="1">
        <v>8</v>
      </c>
      <c r="F17" s="1">
        <v>21</v>
      </c>
      <c r="G17" s="24">
        <v>4.7</v>
      </c>
      <c r="H17" s="3">
        <f t="shared" si="0"/>
        <v>-13</v>
      </c>
      <c r="I17" s="3">
        <f t="shared" si="1"/>
        <v>-141</v>
      </c>
      <c r="K17" s="37"/>
      <c r="L17" s="40"/>
      <c r="M17" s="40"/>
    </row>
    <row r="18" spans="1:13" ht="21" customHeight="1" x14ac:dyDescent="0.25">
      <c r="A18" s="7">
        <v>16</v>
      </c>
      <c r="B18" s="4" t="s">
        <v>60</v>
      </c>
      <c r="C18" s="21" t="s">
        <v>180</v>
      </c>
      <c r="D18" s="1">
        <v>159</v>
      </c>
      <c r="E18" s="1">
        <v>12</v>
      </c>
      <c r="F18" s="1">
        <v>16</v>
      </c>
      <c r="G18" s="24">
        <v>15.1</v>
      </c>
      <c r="H18" s="19">
        <f t="shared" si="0"/>
        <v>-4</v>
      </c>
      <c r="I18" s="19">
        <f t="shared" si="1"/>
        <v>-13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-67</v>
      </c>
      <c r="D21" s="56"/>
      <c r="E21" s="56">
        <f>SUM(I3:I18)</f>
        <v>-278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-4.1875</v>
      </c>
      <c r="D22" s="56"/>
      <c r="E22" s="56">
        <f>E21/16</f>
        <v>-17.375</v>
      </c>
      <c r="F22" s="56"/>
    </row>
    <row r="23" spans="1:13" ht="21" customHeight="1" x14ac:dyDescent="0.25">
      <c r="B23" s="35" t="s">
        <v>196</v>
      </c>
      <c r="C23" s="57">
        <f>AVERAGE(G3:G18)</f>
        <v>10.787499999999998</v>
      </c>
      <c r="D23" s="57"/>
      <c r="E23" s="60"/>
      <c r="F23" s="60"/>
    </row>
    <row r="24" spans="1:13" ht="33.75" customHeight="1" x14ac:dyDescent="0.25">
      <c r="B24" s="35" t="s">
        <v>197</v>
      </c>
      <c r="C24" s="53" t="str">
        <f>INDEX(B3:B18,MATCH(MAX(G3:G18),G3:G18,0),1) &amp; " at " &amp; MAX(G3:G18) &amp; " average points."</f>
        <v>James White at 16.4 average points.</v>
      </c>
      <c r="D24" s="53"/>
      <c r="E24" s="58"/>
      <c r="F24" s="58"/>
    </row>
    <row r="25" spans="1:13" ht="33.75" customHeight="1" x14ac:dyDescent="0.25">
      <c r="B25" s="35" t="s">
        <v>198</v>
      </c>
      <c r="C25" s="53" t="str">
        <f>INDEX(B3:B18,MATCH(MIN(G3:G18),G3:G18,0),1) &amp; " at " &amp; MIN(G3:G18) &amp; " average points."</f>
        <v>Allen Hurns at 3.8 average points.</v>
      </c>
      <c r="D25" s="53"/>
      <c r="E25" s="58"/>
      <c r="F25" s="58"/>
    </row>
    <row r="26" spans="1:13" ht="33.75" customHeight="1" x14ac:dyDescent="0.25">
      <c r="B26" s="35" t="s">
        <v>23</v>
      </c>
      <c r="C26" s="53" t="str">
        <f>INDEX(B3:B18,MATCH(MAX(H3:H18),H3:H18,0),1) &amp; " at a " &amp; MAX(H3:H18) &amp; " differential."</f>
        <v>James White at a 32 differential.</v>
      </c>
      <c r="D26" s="53"/>
      <c r="E26" s="53" t="str">
        <f>INDEX(B3:B18,MATCH(MAX(I3:I18),I3:I18,0),1) &amp; " at a " &amp; MAX(I3:I18) &amp; " differential."</f>
        <v>James White at a 42 differential.</v>
      </c>
      <c r="F26" s="53"/>
    </row>
    <row r="27" spans="1:13" ht="33.75" customHeight="1" x14ac:dyDescent="0.25">
      <c r="B27" s="35" t="s">
        <v>45</v>
      </c>
      <c r="C27" s="53" t="str">
        <f>INDEX(B3:B18,MATCH(MIN(H3:H18),H3:H18,0),1) &amp; " at a " &amp; MIN(H3:H18) &amp; " differential."</f>
        <v>Allen Hurns at a -54 differential.</v>
      </c>
      <c r="D27" s="53"/>
      <c r="E27" s="53" t="str">
        <f>INDEX(B3:B18,MATCH(MIN(I3:I18),I3:I18,0),1) &amp; " at a " &amp; MIN(I3:I18) &amp; " differential."</f>
        <v>NE D/ST at a -141 differential.</v>
      </c>
      <c r="F27" s="53"/>
    </row>
    <row r="28" spans="1:13" ht="33.75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Allen Hurns at a -54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NE D/ST at a -141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 A1)</f>
        <v>Matt Ryan</v>
      </c>
      <c r="D29" s="53"/>
      <c r="E29" s="54" t="str">
        <f ca="1">GetBetterDraftPick(MinMinusCellColorOfRelatedRow(B3:B18, I3:I18, K5), INDEX(D3:D18,MATCH(MinMinusCellColorOfRelatedRow(B3:B18, I3:I18, K5),I3:I18,0),1), A1)</f>
        <v>DeShean Jackson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DeShean Jackson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>Den D/ST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-58</v>
      </c>
      <c r="D31" s="52"/>
      <c r="E31" s="52">
        <f ca="1">SumCellsInRowByColor(B3:B18, I3:I18, K3)</f>
        <v>-266</v>
      </c>
      <c r="F31" s="52"/>
    </row>
    <row r="32" spans="1:13" ht="21" customHeight="1" x14ac:dyDescent="0.25">
      <c r="B32" s="35" t="s">
        <v>80</v>
      </c>
      <c r="C32" s="52">
        <f ca="1">C31/L3</f>
        <v>-3.8666666666666667</v>
      </c>
      <c r="D32" s="52"/>
      <c r="E32" s="52">
        <f ca="1">E31/L3</f>
        <v>-17.733333333333334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-9</v>
      </c>
      <c r="D33" s="52"/>
      <c r="E33" s="52">
        <f ca="1">SumCellsInRowByColor(B3:B18, I3:I18, K4)</f>
        <v>-12</v>
      </c>
      <c r="F33" s="52"/>
    </row>
    <row r="34" spans="2:6" ht="21" customHeight="1" x14ac:dyDescent="0.25">
      <c r="B34" s="35" t="s">
        <v>78</v>
      </c>
      <c r="C34" s="52">
        <f ca="1">C33/L4</f>
        <v>-9</v>
      </c>
      <c r="D34" s="52"/>
      <c r="E34" s="52">
        <f ca="1">E33/L4</f>
        <v>-12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6" priority="1" operator="equal">
      <formula>0</formula>
    </cfRule>
    <cfRule type="cellIs" dxfId="25" priority="2" operator="greaterThan">
      <formula>0</formula>
    </cfRule>
    <cfRule type="cellIs" dxfId="24" priority="3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6"/>
  <sheetViews>
    <sheetView zoomScale="70" zoomScaleNormal="70" workbookViewId="0">
      <selection activeCell="K7" sqref="K7:M2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8" width="15.28515625" customWidth="1"/>
    <col min="9" max="9" width="15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9" t="s">
        <v>201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4</v>
      </c>
      <c r="C3" s="21" t="s">
        <v>177</v>
      </c>
      <c r="D3" s="1">
        <v>3</v>
      </c>
      <c r="E3" s="1">
        <v>3</v>
      </c>
      <c r="F3" s="1">
        <v>1</v>
      </c>
      <c r="G3" s="24">
        <v>26.8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5</v>
      </c>
      <c r="C4" s="21" t="s">
        <v>179</v>
      </c>
      <c r="D4" s="1">
        <v>18</v>
      </c>
      <c r="E4" s="1">
        <v>6</v>
      </c>
      <c r="F4" s="1">
        <v>25</v>
      </c>
      <c r="G4" s="24">
        <v>10.9</v>
      </c>
      <c r="H4" s="3">
        <f t="shared" ref="H4:H18" si="0">E4-F4</f>
        <v>-19</v>
      </c>
      <c r="I4" s="3">
        <f t="shared" ref="I4:I18" si="1">ROUND(IF(C4="WR", H4, IF(C4="RB", H4*1.326, IF(C4="QB", H4*3.145, IF(C4="TE", H4*3.495, IF(C4="K", H4*8.65, IF(C4="D/ST", H4*10.813, "ERROR")))))),0)</f>
        <v>-19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4" t="s">
        <v>6</v>
      </c>
      <c r="C5" s="21" t="s">
        <v>179</v>
      </c>
      <c r="D5" s="1">
        <v>23</v>
      </c>
      <c r="E5" s="1">
        <v>8</v>
      </c>
      <c r="F5" s="1">
        <v>3</v>
      </c>
      <c r="G5" s="24">
        <v>18.899999999999999</v>
      </c>
      <c r="H5" s="3">
        <f t="shared" si="0"/>
        <v>5</v>
      </c>
      <c r="I5" s="3">
        <f t="shared" si="1"/>
        <v>5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7</v>
      </c>
      <c r="C6" s="21" t="s">
        <v>179</v>
      </c>
      <c r="D6" s="1">
        <v>38</v>
      </c>
      <c r="E6" s="1">
        <v>16</v>
      </c>
      <c r="F6" s="1">
        <v>105</v>
      </c>
      <c r="G6" s="24">
        <v>3.2</v>
      </c>
      <c r="H6" s="3">
        <f t="shared" si="0"/>
        <v>-89</v>
      </c>
      <c r="I6" s="3">
        <f t="shared" si="1"/>
        <v>-89</v>
      </c>
      <c r="K6" s="15" t="s">
        <v>28</v>
      </c>
      <c r="L6" s="11">
        <f ca="1">CountCellsByColor(B3:B18,K6)</f>
        <v>1</v>
      </c>
    </row>
    <row r="7" spans="1:13" ht="21" customHeight="1" x14ac:dyDescent="0.25">
      <c r="A7" s="7">
        <v>5</v>
      </c>
      <c r="B7" s="5" t="s">
        <v>8</v>
      </c>
      <c r="C7" s="21" t="s">
        <v>177</v>
      </c>
      <c r="D7" s="1">
        <v>43</v>
      </c>
      <c r="E7" s="1">
        <v>18</v>
      </c>
      <c r="F7" s="1">
        <v>23</v>
      </c>
      <c r="G7" s="24">
        <v>9.4</v>
      </c>
      <c r="H7" s="3">
        <f t="shared" si="0"/>
        <v>-5</v>
      </c>
      <c r="I7" s="3">
        <f t="shared" si="1"/>
        <v>-7</v>
      </c>
      <c r="K7" s="36"/>
      <c r="L7" s="36"/>
      <c r="M7" s="36"/>
    </row>
    <row r="8" spans="1:13" ht="21" customHeight="1" x14ac:dyDescent="0.25">
      <c r="A8" s="7">
        <v>6</v>
      </c>
      <c r="B8" s="6" t="s">
        <v>9</v>
      </c>
      <c r="C8" s="21" t="s">
        <v>177</v>
      </c>
      <c r="D8" s="1">
        <v>58</v>
      </c>
      <c r="E8" s="1">
        <v>22</v>
      </c>
      <c r="F8" s="1">
        <v>46</v>
      </c>
      <c r="G8" s="24">
        <v>5.5</v>
      </c>
      <c r="H8" s="2">
        <f t="shared" si="0"/>
        <v>-24</v>
      </c>
      <c r="I8" s="2">
        <f t="shared" si="1"/>
        <v>-32</v>
      </c>
      <c r="K8" s="37"/>
      <c r="L8" s="38"/>
      <c r="M8" s="38"/>
    </row>
    <row r="9" spans="1:13" ht="21" customHeight="1" x14ac:dyDescent="0.25">
      <c r="A9" s="7">
        <v>7</v>
      </c>
      <c r="B9" s="6" t="s">
        <v>10</v>
      </c>
      <c r="C9" s="21" t="s">
        <v>178</v>
      </c>
      <c r="D9" s="1">
        <v>63</v>
      </c>
      <c r="E9" s="1">
        <v>4</v>
      </c>
      <c r="F9" s="1">
        <v>63</v>
      </c>
      <c r="G9" s="24">
        <v>1</v>
      </c>
      <c r="H9" s="3">
        <f t="shared" si="0"/>
        <v>-59</v>
      </c>
      <c r="I9" s="3">
        <f t="shared" si="1"/>
        <v>-206</v>
      </c>
      <c r="K9" s="37"/>
      <c r="L9" s="38"/>
      <c r="M9" s="38"/>
    </row>
    <row r="10" spans="1:13" ht="21" customHeight="1" x14ac:dyDescent="0.25">
      <c r="A10" s="7">
        <v>8</v>
      </c>
      <c r="B10" s="4" t="s">
        <v>11</v>
      </c>
      <c r="C10" s="21" t="s">
        <v>179</v>
      </c>
      <c r="D10" s="1">
        <v>78</v>
      </c>
      <c r="E10" s="1">
        <v>32</v>
      </c>
      <c r="F10" s="1">
        <v>5</v>
      </c>
      <c r="G10" s="24">
        <v>16.100000000000001</v>
      </c>
      <c r="H10" s="3">
        <f t="shared" si="0"/>
        <v>27</v>
      </c>
      <c r="I10" s="3">
        <f t="shared" si="1"/>
        <v>27</v>
      </c>
      <c r="K10" s="37"/>
      <c r="L10" s="39"/>
      <c r="M10" s="28"/>
    </row>
    <row r="11" spans="1:13" ht="21" customHeight="1" x14ac:dyDescent="0.25">
      <c r="A11" s="7">
        <v>9</v>
      </c>
      <c r="B11" s="4" t="s">
        <v>12</v>
      </c>
      <c r="C11" s="21" t="s">
        <v>179</v>
      </c>
      <c r="D11" s="1">
        <v>83</v>
      </c>
      <c r="E11" s="1">
        <v>36</v>
      </c>
      <c r="F11" s="1">
        <v>31</v>
      </c>
      <c r="G11" s="24">
        <v>9.5</v>
      </c>
      <c r="H11" s="3">
        <f t="shared" si="0"/>
        <v>5</v>
      </c>
      <c r="I11" s="3">
        <f t="shared" si="1"/>
        <v>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192</v>
      </c>
      <c r="C12" s="21" t="s">
        <v>177</v>
      </c>
      <c r="D12" s="1">
        <v>98</v>
      </c>
      <c r="E12" s="1">
        <v>37</v>
      </c>
      <c r="F12" s="1">
        <v>71</v>
      </c>
      <c r="G12" s="24">
        <v>2.2999999999999998</v>
      </c>
      <c r="H12" s="3">
        <f t="shared" si="0"/>
        <v>-34</v>
      </c>
      <c r="I12" s="3">
        <f t="shared" si="1"/>
        <v>-45</v>
      </c>
      <c r="K12" s="37"/>
      <c r="L12" s="31"/>
      <c r="M12" s="31"/>
    </row>
    <row r="13" spans="1:13" ht="21" customHeight="1" x14ac:dyDescent="0.25">
      <c r="A13" s="7">
        <v>11</v>
      </c>
      <c r="B13" s="4" t="s">
        <v>13</v>
      </c>
      <c r="C13" s="21" t="s">
        <v>180</v>
      </c>
      <c r="D13" s="1">
        <v>103</v>
      </c>
      <c r="E13" s="1">
        <v>9</v>
      </c>
      <c r="F13" s="1">
        <v>4</v>
      </c>
      <c r="G13" s="24">
        <v>20.399999999999999</v>
      </c>
      <c r="H13" s="3">
        <f t="shared" si="0"/>
        <v>5</v>
      </c>
      <c r="I13" s="3">
        <f t="shared" si="1"/>
        <v>16</v>
      </c>
      <c r="K13" s="37"/>
      <c r="L13" s="31"/>
      <c r="M13" s="31"/>
    </row>
    <row r="14" spans="1:13" ht="21" customHeight="1" x14ac:dyDescent="0.25">
      <c r="A14" s="7">
        <v>12</v>
      </c>
      <c r="B14" s="12" t="s">
        <v>14</v>
      </c>
      <c r="C14" s="21" t="s">
        <v>179</v>
      </c>
      <c r="D14" s="1">
        <v>118</v>
      </c>
      <c r="E14" s="1">
        <v>48</v>
      </c>
      <c r="F14" s="1">
        <v>77</v>
      </c>
      <c r="G14" s="24">
        <v>4.5999999999999996</v>
      </c>
      <c r="H14" s="3">
        <f t="shared" si="0"/>
        <v>-29</v>
      </c>
      <c r="I14" s="3">
        <f t="shared" si="1"/>
        <v>-29</v>
      </c>
      <c r="K14" s="37"/>
      <c r="L14" s="31"/>
      <c r="M14" s="31"/>
    </row>
    <row r="15" spans="1:13" ht="21" customHeight="1" x14ac:dyDescent="0.25">
      <c r="A15" s="7">
        <v>13</v>
      </c>
      <c r="B15" s="12" t="s">
        <v>15</v>
      </c>
      <c r="C15" s="21" t="s">
        <v>181</v>
      </c>
      <c r="D15" s="1">
        <v>123</v>
      </c>
      <c r="E15" s="1">
        <v>5</v>
      </c>
      <c r="F15" s="1">
        <v>21</v>
      </c>
      <c r="G15" s="24">
        <v>6.4</v>
      </c>
      <c r="H15" s="2">
        <f t="shared" si="0"/>
        <v>-16</v>
      </c>
      <c r="I15" s="2">
        <f t="shared" si="1"/>
        <v>-138</v>
      </c>
      <c r="K15" s="37"/>
      <c r="L15" s="31"/>
      <c r="M15" s="31"/>
    </row>
    <row r="16" spans="1:13" ht="21" customHeight="1" x14ac:dyDescent="0.25">
      <c r="A16" s="7">
        <v>14</v>
      </c>
      <c r="B16" s="12" t="s">
        <v>16</v>
      </c>
      <c r="C16" s="21" t="s">
        <v>179</v>
      </c>
      <c r="D16" s="1">
        <v>138</v>
      </c>
      <c r="E16" s="1">
        <v>52</v>
      </c>
      <c r="F16" s="1">
        <v>113</v>
      </c>
      <c r="G16" s="24">
        <v>2.6</v>
      </c>
      <c r="H16" s="3">
        <f t="shared" si="0"/>
        <v>-61</v>
      </c>
      <c r="I16" s="3">
        <f t="shared" si="1"/>
        <v>-61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</v>
      </c>
      <c r="C17" s="21" t="s">
        <v>179</v>
      </c>
      <c r="D17" s="1">
        <v>143</v>
      </c>
      <c r="E17" s="1">
        <v>54</v>
      </c>
      <c r="F17" s="1">
        <v>26</v>
      </c>
      <c r="G17" s="24">
        <v>12.6</v>
      </c>
      <c r="H17" s="3">
        <f t="shared" si="0"/>
        <v>28</v>
      </c>
      <c r="I17" s="3">
        <f t="shared" si="1"/>
        <v>28</v>
      </c>
      <c r="K17" s="37"/>
      <c r="L17" s="40"/>
      <c r="M17" s="40"/>
    </row>
    <row r="18" spans="1:13" ht="21" customHeight="1" x14ac:dyDescent="0.25">
      <c r="A18" s="7">
        <v>16</v>
      </c>
      <c r="B18" s="12" t="s">
        <v>18</v>
      </c>
      <c r="C18" s="21" t="s">
        <v>182</v>
      </c>
      <c r="D18" s="1">
        <v>158</v>
      </c>
      <c r="E18" s="1">
        <v>10</v>
      </c>
      <c r="F18" s="1">
        <v>28</v>
      </c>
      <c r="G18" s="24">
        <v>2.2000000000000002</v>
      </c>
      <c r="H18" s="19">
        <f t="shared" si="0"/>
        <v>-18</v>
      </c>
      <c r="I18" s="19">
        <f t="shared" si="1"/>
        <v>-195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-282</v>
      </c>
      <c r="D21" s="56"/>
      <c r="E21" s="56">
        <f>SUM(I3:I18)</f>
        <v>-737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-17.625</v>
      </c>
      <c r="D22" s="56"/>
      <c r="E22" s="56">
        <f>E21/16</f>
        <v>-46.0625</v>
      </c>
      <c r="F22" s="56"/>
    </row>
    <row r="23" spans="1:13" ht="21" customHeight="1" x14ac:dyDescent="0.25">
      <c r="B23" s="35" t="s">
        <v>196</v>
      </c>
      <c r="C23" s="57">
        <f>AVERAGE(G3:G18)</f>
        <v>9.5249999999999986</v>
      </c>
      <c r="D23" s="57"/>
      <c r="E23" s="60"/>
      <c r="F23" s="60"/>
    </row>
    <row r="24" spans="1:13" ht="31.5" customHeight="1" x14ac:dyDescent="0.25">
      <c r="B24" s="35" t="s">
        <v>197</v>
      </c>
      <c r="C24" s="53" t="str">
        <f>INDEX(B3:B18,MATCH(MAX(G3:G18),G3:G18,0),1) &amp; " at " &amp; MAX(G3:G18) &amp; " average points."</f>
        <v>Todd Gurley at 26.8 average points.</v>
      </c>
      <c r="D24" s="53"/>
      <c r="E24" s="58"/>
      <c r="F24" s="58"/>
    </row>
    <row r="25" spans="1:13" ht="31.5" customHeight="1" x14ac:dyDescent="0.25">
      <c r="B25" s="35" t="s">
        <v>198</v>
      </c>
      <c r="C25" s="53" t="str">
        <f>INDEX(B3:B18,MATCH(MIN(G3:G18),G3:G18,0),1) &amp; " at " &amp; MIN(G3:G18) &amp; " average points."</f>
        <v>Delanie Walker at 1 average points.</v>
      </c>
      <c r="D25" s="53"/>
      <c r="E25" s="58"/>
      <c r="F25" s="58"/>
    </row>
    <row r="26" spans="1:13" ht="31.5" customHeight="1" x14ac:dyDescent="0.25">
      <c r="B26" s="35" t="s">
        <v>23</v>
      </c>
      <c r="C26" s="53" t="str">
        <f>INDEX(B3:B18,MATCH(MAX(H3:H18),H3:H18,0),1) &amp; " at a " &amp; MAX(H3:H18) &amp; " differential."</f>
        <v>Kenny Golladay at a 28 differential.</v>
      </c>
      <c r="D26" s="53"/>
      <c r="E26" s="53" t="str">
        <f>INDEX(B3:B18,MATCH(MAX(I3:I18),I3:I18,0),1) &amp; " at a " &amp; MAX(I3:I18) &amp; " differential."</f>
        <v>Kenny Golladay at a 28 differential.</v>
      </c>
      <c r="F26" s="53"/>
    </row>
    <row r="27" spans="1:13" ht="31.5" customHeight="1" x14ac:dyDescent="0.25">
      <c r="B27" s="35" t="s">
        <v>45</v>
      </c>
      <c r="C27" s="53" t="str">
        <f>INDEX(B3:B18,MATCH(MIN(H3:H18),H3:H18,0),1) &amp; " at a " &amp; MIN(H3:H18) &amp; " differential."</f>
        <v>Doug Baldwin at a -89 differential.</v>
      </c>
      <c r="D27" s="53"/>
      <c r="E27" s="53" t="str">
        <f>INDEX(B3:B18,MATCH(MIN(I3:I18),I3:I18,0),1) &amp; " at a " &amp; MIN(I3:I18) &amp; " differential."</f>
        <v>Delanie Walker at a -206 differential.</v>
      </c>
      <c r="F27" s="53"/>
    </row>
    <row r="28" spans="1:13" ht="31.5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Doug Baldwin at a -89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NO D/ST at a -195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 "Tim")</f>
        <v>Matt Ryan</v>
      </c>
      <c r="D29" s="53"/>
      <c r="E29" s="54" t="str">
        <f ca="1">GetBetterDraftPick(MinMinusCellColorOfRelatedRow(B3:B18, I3:I18, K5), INDEX(D3:D18,MATCH(MinMinusCellColorOfRelatedRow(B3:B18, I3:I18, K5),I3:I18,0),1), A1)</f>
        <v>Dak Prescott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 A1)</f>
        <v>JuJu Smith-Schuster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 A1)</f>
        <v/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-64</v>
      </c>
      <c r="D31" s="52"/>
      <c r="E31" s="52">
        <f ca="1">SumCellsInRowByColor(B3:B18, I3:I18, K3)</f>
        <v>-52</v>
      </c>
      <c r="F31" s="52"/>
    </row>
    <row r="32" spans="1:13" ht="21" customHeight="1" x14ac:dyDescent="0.25">
      <c r="B32" s="35" t="s">
        <v>80</v>
      </c>
      <c r="C32" s="52">
        <f ca="1">C31/L3</f>
        <v>-9.1428571428571423</v>
      </c>
      <c r="D32" s="52"/>
      <c r="E32" s="52">
        <f ca="1">E31/L3</f>
        <v>-7.4285714285714288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-130</v>
      </c>
      <c r="D33" s="52"/>
      <c r="E33" s="52">
        <f ca="1">SumCellsInRowByColor(B3:B18, I3:I18, K4)</f>
        <v>-440</v>
      </c>
      <c r="F33" s="52"/>
    </row>
    <row r="34" spans="2:6" ht="21" customHeight="1" x14ac:dyDescent="0.25">
      <c r="B34" s="35" t="s">
        <v>78</v>
      </c>
      <c r="C34" s="52">
        <f ca="1">C33/L4</f>
        <v>-21.666666666666668</v>
      </c>
      <c r="D34" s="52"/>
      <c r="E34" s="52">
        <f ca="1">E33/L4</f>
        <v>-73.333333333333329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-5</v>
      </c>
      <c r="D35" s="52"/>
      <c r="E35" s="52">
        <f ca="1">SumCellsInRowByColor(B3:B18, I3:I18, K6)</f>
        <v>-7</v>
      </c>
      <c r="F35" s="52"/>
    </row>
    <row r="36" spans="2:6" ht="21" customHeight="1" x14ac:dyDescent="0.25">
      <c r="B36" s="35" t="s">
        <v>81</v>
      </c>
      <c r="C36" s="52">
        <f ca="1">IF(L6 &lt;&gt; 0, C35/L6, 0)</f>
        <v>-5</v>
      </c>
      <c r="D36" s="52"/>
      <c r="E36" s="52">
        <f ca="1">IF(L6 &lt;&gt; 0, E35/L6, 0)</f>
        <v>-7</v>
      </c>
      <c r="F36" s="52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3" priority="1" operator="equal">
      <formula>0</formula>
    </cfRule>
    <cfRule type="cellIs" dxfId="22" priority="2" operator="greaterThan">
      <formula>0</formula>
    </cfRule>
    <cfRule type="cellIs" dxfId="21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6"/>
  <sheetViews>
    <sheetView zoomScale="70" zoomScaleNormal="70" workbookViewId="0">
      <selection activeCell="K7" sqref="K7:M21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9" t="s">
        <v>202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61</v>
      </c>
      <c r="C3" s="21" t="s">
        <v>177</v>
      </c>
      <c r="D3" s="1">
        <v>4</v>
      </c>
      <c r="E3" s="1">
        <v>4</v>
      </c>
      <c r="F3" s="1">
        <v>8</v>
      </c>
      <c r="G3" s="24">
        <v>15.2</v>
      </c>
      <c r="H3" s="2">
        <f>E3-F3</f>
        <v>-4</v>
      </c>
      <c r="I3" s="2">
        <f>ROUND(IF(C3="WR", H3, IF(C3="RB", H3*1.326, IF(C3="QB", H3*3.145, IF(C3="TE", H3*3.495, IF(C3="K", H3*8.65, IF(C3="D/ST", H3*10.813, "ERROR")))))),0)</f>
        <v>-5</v>
      </c>
      <c r="K3" s="16" t="s">
        <v>25</v>
      </c>
      <c r="L3" s="11">
        <f ca="1">CountCellsByColor(B3:B18,K3)</f>
        <v>9</v>
      </c>
    </row>
    <row r="4" spans="1:13" ht="21" customHeight="1" x14ac:dyDescent="0.25">
      <c r="A4" s="7">
        <v>2</v>
      </c>
      <c r="B4" s="4" t="s">
        <v>62</v>
      </c>
      <c r="C4" s="21" t="s">
        <v>177</v>
      </c>
      <c r="D4" s="1">
        <v>17</v>
      </c>
      <c r="E4" s="1">
        <v>8</v>
      </c>
      <c r="F4" s="1">
        <v>11</v>
      </c>
      <c r="G4" s="24">
        <v>14.3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-4</v>
      </c>
      <c r="K4" s="17" t="s">
        <v>27</v>
      </c>
      <c r="L4" s="11">
        <f ca="1">CountCellsByColor(B3:B18,K4)</f>
        <v>7</v>
      </c>
    </row>
    <row r="5" spans="1:13" ht="21" customHeight="1" x14ac:dyDescent="0.25">
      <c r="A5" s="7">
        <v>3</v>
      </c>
      <c r="B5" s="4" t="s">
        <v>63</v>
      </c>
      <c r="C5" s="21" t="s">
        <v>177</v>
      </c>
      <c r="D5" s="1">
        <v>24</v>
      </c>
      <c r="E5" s="1">
        <v>10</v>
      </c>
      <c r="F5" s="1">
        <v>50</v>
      </c>
      <c r="G5" s="24">
        <v>5.0999999999999996</v>
      </c>
      <c r="H5" s="3">
        <f t="shared" si="0"/>
        <v>-40</v>
      </c>
      <c r="I5" s="3">
        <f t="shared" si="1"/>
        <v>-53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64</v>
      </c>
      <c r="C6" s="21" t="s">
        <v>180</v>
      </c>
      <c r="D6" s="1">
        <v>37</v>
      </c>
      <c r="E6" s="1">
        <v>2</v>
      </c>
      <c r="F6" s="1">
        <v>9</v>
      </c>
      <c r="G6" s="24">
        <v>18.7</v>
      </c>
      <c r="H6" s="3">
        <f t="shared" si="0"/>
        <v>-7</v>
      </c>
      <c r="I6" s="3">
        <f t="shared" si="1"/>
        <v>-22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65</v>
      </c>
      <c r="C7" s="21" t="s">
        <v>179</v>
      </c>
      <c r="D7" s="1">
        <v>44</v>
      </c>
      <c r="E7" s="1">
        <v>19</v>
      </c>
      <c r="F7" s="1">
        <v>29</v>
      </c>
      <c r="G7" s="24">
        <v>9.8000000000000007</v>
      </c>
      <c r="H7" s="3">
        <f t="shared" si="0"/>
        <v>-10</v>
      </c>
      <c r="I7" s="3">
        <f t="shared" si="1"/>
        <v>-10</v>
      </c>
      <c r="K7" s="36"/>
      <c r="L7" s="36"/>
      <c r="M7" s="36"/>
    </row>
    <row r="8" spans="1:13" ht="21" customHeight="1" x14ac:dyDescent="0.25">
      <c r="A8" s="7">
        <v>6</v>
      </c>
      <c r="B8" s="4" t="s">
        <v>184</v>
      </c>
      <c r="C8" s="21" t="s">
        <v>179</v>
      </c>
      <c r="D8" s="1">
        <v>57</v>
      </c>
      <c r="E8" s="1">
        <v>24</v>
      </c>
      <c r="F8" s="1">
        <v>52</v>
      </c>
      <c r="G8" s="24">
        <v>8.4</v>
      </c>
      <c r="H8" s="2">
        <f t="shared" si="0"/>
        <v>-28</v>
      </c>
      <c r="I8" s="2">
        <f t="shared" si="1"/>
        <v>-28</v>
      </c>
      <c r="K8" s="37"/>
      <c r="L8" s="38"/>
      <c r="M8" s="38"/>
    </row>
    <row r="9" spans="1:13" ht="21" customHeight="1" x14ac:dyDescent="0.25">
      <c r="A9" s="7">
        <v>7</v>
      </c>
      <c r="B9" s="4" t="s">
        <v>66</v>
      </c>
      <c r="C9" s="21" t="s">
        <v>179</v>
      </c>
      <c r="D9" s="1">
        <v>64</v>
      </c>
      <c r="E9" s="1">
        <v>27</v>
      </c>
      <c r="F9" s="1">
        <v>9</v>
      </c>
      <c r="G9" s="24">
        <v>14.6</v>
      </c>
      <c r="H9" s="3">
        <f t="shared" si="0"/>
        <v>18</v>
      </c>
      <c r="I9" s="3">
        <f t="shared" si="1"/>
        <v>18</v>
      </c>
      <c r="K9" s="37"/>
      <c r="L9" s="38"/>
      <c r="M9" s="38"/>
    </row>
    <row r="10" spans="1:13" ht="21" customHeight="1" x14ac:dyDescent="0.25">
      <c r="A10" s="7">
        <v>8</v>
      </c>
      <c r="B10" s="12" t="s">
        <v>67</v>
      </c>
      <c r="C10" s="21" t="s">
        <v>177</v>
      </c>
      <c r="D10" s="1">
        <v>77</v>
      </c>
      <c r="E10" s="1">
        <v>30</v>
      </c>
      <c r="F10" s="1">
        <v>12</v>
      </c>
      <c r="G10" s="24">
        <v>11.8</v>
      </c>
      <c r="H10" s="3">
        <f t="shared" si="0"/>
        <v>18</v>
      </c>
      <c r="I10" s="3">
        <f t="shared" si="1"/>
        <v>24</v>
      </c>
      <c r="K10" s="37"/>
      <c r="L10" s="39"/>
      <c r="M10" s="28"/>
    </row>
    <row r="11" spans="1:13" ht="21" customHeight="1" x14ac:dyDescent="0.25">
      <c r="A11" s="7">
        <v>9</v>
      </c>
      <c r="B11" s="4" t="s">
        <v>68</v>
      </c>
      <c r="C11" s="21" t="s">
        <v>179</v>
      </c>
      <c r="D11" s="1">
        <v>84</v>
      </c>
      <c r="E11" s="1">
        <v>37</v>
      </c>
      <c r="F11" s="1">
        <v>74</v>
      </c>
      <c r="G11" s="24">
        <v>4.7</v>
      </c>
      <c r="H11" s="3">
        <f t="shared" si="0"/>
        <v>-37</v>
      </c>
      <c r="I11" s="3">
        <f t="shared" si="1"/>
        <v>-37</v>
      </c>
      <c r="K11" s="37"/>
      <c r="L11" s="31"/>
      <c r="M11" s="31"/>
    </row>
    <row r="12" spans="1:13" ht="21" customHeight="1" x14ac:dyDescent="0.25">
      <c r="A12" s="7">
        <v>10</v>
      </c>
      <c r="B12" s="12" t="s">
        <v>69</v>
      </c>
      <c r="C12" s="21" t="s">
        <v>177</v>
      </c>
      <c r="D12" s="1">
        <v>97</v>
      </c>
      <c r="E12" s="1">
        <v>36</v>
      </c>
      <c r="F12" s="1">
        <v>36</v>
      </c>
      <c r="G12" s="24">
        <v>7.5</v>
      </c>
      <c r="H12" s="3">
        <f t="shared" si="0"/>
        <v>0</v>
      </c>
      <c r="I12" s="3">
        <f t="shared" si="1"/>
        <v>0</v>
      </c>
      <c r="K12" s="37"/>
      <c r="L12" s="31"/>
      <c r="M12" s="31"/>
    </row>
    <row r="13" spans="1:13" ht="21" customHeight="1" x14ac:dyDescent="0.25">
      <c r="A13" s="7">
        <v>11</v>
      </c>
      <c r="B13" s="4" t="s">
        <v>70</v>
      </c>
      <c r="C13" s="21" t="s">
        <v>178</v>
      </c>
      <c r="D13" s="1">
        <v>104</v>
      </c>
      <c r="E13" s="1">
        <v>8</v>
      </c>
      <c r="F13" s="1">
        <v>12</v>
      </c>
      <c r="G13" s="24">
        <v>7.3</v>
      </c>
      <c r="H13" s="3">
        <f t="shared" si="0"/>
        <v>-4</v>
      </c>
      <c r="I13" s="3">
        <f t="shared" si="1"/>
        <v>-14</v>
      </c>
      <c r="K13" s="37"/>
      <c r="L13" s="31"/>
      <c r="M13" s="31"/>
    </row>
    <row r="14" spans="1:13" ht="21" customHeight="1" x14ac:dyDescent="0.25">
      <c r="A14" s="7">
        <v>12</v>
      </c>
      <c r="B14" s="12" t="s">
        <v>71</v>
      </c>
      <c r="C14" s="21" t="s">
        <v>179</v>
      </c>
      <c r="D14" s="1">
        <v>117</v>
      </c>
      <c r="E14" s="1">
        <v>47</v>
      </c>
      <c r="F14" s="1">
        <v>38</v>
      </c>
      <c r="G14" s="24">
        <v>8.6999999999999993</v>
      </c>
      <c r="H14" s="3">
        <f t="shared" si="0"/>
        <v>9</v>
      </c>
      <c r="I14" s="3">
        <f t="shared" si="1"/>
        <v>9</v>
      </c>
      <c r="K14" s="37"/>
      <c r="L14" s="31"/>
      <c r="M14" s="31"/>
    </row>
    <row r="15" spans="1:13" ht="21" customHeight="1" x14ac:dyDescent="0.25">
      <c r="A15" s="7">
        <v>13</v>
      </c>
      <c r="B15" s="12" t="s">
        <v>72</v>
      </c>
      <c r="C15" s="21" t="s">
        <v>177</v>
      </c>
      <c r="D15" s="1">
        <v>124</v>
      </c>
      <c r="E15" s="1">
        <v>45</v>
      </c>
      <c r="F15" s="1">
        <v>36</v>
      </c>
      <c r="G15" s="24">
        <v>6.4</v>
      </c>
      <c r="H15" s="2">
        <f t="shared" si="0"/>
        <v>9</v>
      </c>
      <c r="I15" s="2">
        <f t="shared" si="1"/>
        <v>12</v>
      </c>
      <c r="K15" s="37"/>
      <c r="L15" s="31"/>
      <c r="M15" s="31"/>
    </row>
    <row r="16" spans="1:13" ht="21" customHeight="1" x14ac:dyDescent="0.25">
      <c r="A16" s="7">
        <v>14</v>
      </c>
      <c r="B16" s="12" t="s">
        <v>73</v>
      </c>
      <c r="C16" s="21" t="s">
        <v>179</v>
      </c>
      <c r="D16" s="1">
        <v>137</v>
      </c>
      <c r="E16" s="1">
        <v>51</v>
      </c>
      <c r="F16" s="1">
        <v>63</v>
      </c>
      <c r="G16" s="24">
        <v>6.7</v>
      </c>
      <c r="H16" s="3">
        <f t="shared" si="0"/>
        <v>-12</v>
      </c>
      <c r="I16" s="3">
        <f t="shared" si="1"/>
        <v>-12</v>
      </c>
      <c r="K16" s="37"/>
      <c r="L16" s="40"/>
      <c r="M16" s="40"/>
    </row>
    <row r="17" spans="1:13" ht="21" customHeight="1" x14ac:dyDescent="0.25">
      <c r="A17" s="7">
        <v>15</v>
      </c>
      <c r="B17" s="12" t="s">
        <v>74</v>
      </c>
      <c r="C17" s="21" t="s">
        <v>179</v>
      </c>
      <c r="D17" s="1">
        <v>144</v>
      </c>
      <c r="E17" s="1">
        <v>55</v>
      </c>
      <c r="F17" s="1">
        <v>27</v>
      </c>
      <c r="G17" s="24">
        <v>12.4</v>
      </c>
      <c r="H17" s="3">
        <f t="shared" si="0"/>
        <v>28</v>
      </c>
      <c r="I17" s="3">
        <f t="shared" si="1"/>
        <v>28</v>
      </c>
      <c r="K17" s="37"/>
      <c r="L17" s="40"/>
      <c r="M17" s="40"/>
    </row>
    <row r="18" spans="1:13" ht="21" customHeight="1" x14ac:dyDescent="0.25">
      <c r="A18" s="7">
        <v>16</v>
      </c>
      <c r="B18" s="12" t="s">
        <v>75</v>
      </c>
      <c r="C18" s="21" t="s">
        <v>179</v>
      </c>
      <c r="D18" s="1">
        <v>157</v>
      </c>
      <c r="E18" s="1">
        <v>60</v>
      </c>
      <c r="F18" s="13">
        <v>172</v>
      </c>
      <c r="G18" s="25">
        <v>0</v>
      </c>
      <c r="H18" s="19">
        <f>E18-F18</f>
        <v>-112</v>
      </c>
      <c r="I18" s="19">
        <f t="shared" si="1"/>
        <v>-112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-175</v>
      </c>
      <c r="D21" s="56"/>
      <c r="E21" s="56">
        <f>SUM(I3:I18)</f>
        <v>-206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-10.9375</v>
      </c>
      <c r="D22" s="56"/>
      <c r="E22" s="56">
        <f>E21/16</f>
        <v>-12.875</v>
      </c>
      <c r="F22" s="56"/>
    </row>
    <row r="23" spans="1:13" ht="21" customHeight="1" x14ac:dyDescent="0.25">
      <c r="B23" s="35" t="s">
        <v>196</v>
      </c>
      <c r="C23" s="57">
        <f>AVERAGE(G3:G18)</f>
        <v>9.4749999999999996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Tom Brady at 18.7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Dez Bryant at 0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Tyler Lockett at a 28 differential.</v>
      </c>
      <c r="D26" s="53"/>
      <c r="E26" s="53" t="str">
        <f>INDEX(B3:B18,MATCH(MAX(I3:I18),I3:I18,0),1) &amp; " at a " &amp; MAX(I3:I18) &amp; " differential."</f>
        <v>Tyler Lockett at a 28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Dez Bryant at a -112 differential.</v>
      </c>
      <c r="D27" s="53"/>
      <c r="E27" s="53" t="str">
        <f>INDEX(B3:B18,MATCH(MIN(I3:I18),I3:I18,0),1) &amp; " at a " &amp; MIN(I3:I18) &amp; " differential."</f>
        <v>Dez Bryant at a -112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Dez Bryant at a -112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Dez Bryant at a -112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 A1)</f>
        <v>Dak Prescott</v>
      </c>
      <c r="D29" s="53"/>
      <c r="E29" s="54" t="str">
        <f ca="1">GetBetterDraftPick(MinMinusCellColorOfRelatedRow(B3:B18, I3:I18, K5), INDEX(D3:D18,MATCH(MinMinusCellColorOfRelatedRow(B3:B18, I3:I18, K5),I3:I18,0),1),A1)</f>
        <v>Dak Prescott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Martavius Bryant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Martavius Bryant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-115</v>
      </c>
      <c r="D31" s="52"/>
      <c r="E31" s="52">
        <f ca="1">SumCellsInRowByColor(B3:B18, I3:I18, K3)</f>
        <v>-155</v>
      </c>
      <c r="F31" s="52"/>
    </row>
    <row r="32" spans="1:13" ht="21" customHeight="1" x14ac:dyDescent="0.25">
      <c r="B32" s="35" t="s">
        <v>80</v>
      </c>
      <c r="C32" s="52">
        <f ca="1">C31/L3</f>
        <v>-12.777777777777779</v>
      </c>
      <c r="D32" s="52"/>
      <c r="E32" s="52">
        <f ca="1">E31/L3</f>
        <v>-17.222222222222221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-60</v>
      </c>
      <c r="D33" s="52"/>
      <c r="E33" s="52">
        <f ca="1">SumCellsInRowByColor(B3:B18, I3:I18, K4)</f>
        <v>-51</v>
      </c>
      <c r="F33" s="52"/>
    </row>
    <row r="34" spans="2:6" ht="21" customHeight="1" x14ac:dyDescent="0.25">
      <c r="B34" s="35" t="s">
        <v>78</v>
      </c>
      <c r="C34" s="52">
        <f ca="1">C33/L4</f>
        <v>-8.5714285714285712</v>
      </c>
      <c r="D34" s="52"/>
      <c r="E34" s="52">
        <f ca="1">E33/L4</f>
        <v>-7.2857142857142856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20" priority="1" operator="equal">
      <formula>0</formula>
    </cfRule>
    <cfRule type="cellIs" dxfId="19" priority="2" operator="greaterThan">
      <formula>0</formula>
    </cfRule>
    <cfRule type="cellIs" dxfId="18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36"/>
  <sheetViews>
    <sheetView zoomScale="70" zoomScaleNormal="70" workbookViewId="0">
      <selection activeCell="K7" sqref="K7:M22"/>
    </sheetView>
  </sheetViews>
  <sheetFormatPr defaultRowHeight="15" x14ac:dyDescent="0.25"/>
  <cols>
    <col min="1" max="1" width="10.7109375" customWidth="1"/>
    <col min="2" max="2" width="32.140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9" t="s">
        <v>203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82</v>
      </c>
      <c r="C3" s="21" t="s">
        <v>177</v>
      </c>
      <c r="D3" s="1">
        <v>5</v>
      </c>
      <c r="E3" s="1">
        <v>5</v>
      </c>
      <c r="F3" s="1">
        <v>2</v>
      </c>
      <c r="G3" s="24">
        <v>21.9</v>
      </c>
      <c r="H3" s="2">
        <f>E3-F3</f>
        <v>3</v>
      </c>
      <c r="I3" s="2">
        <f>ROUND(IF(C3="WR", H3, IF(C3="RB", H3*1.326, IF(C3="QB", H3*3.145, IF(C3="TE", H3*3.495, IF(C3="K", H3*8.65, IF(C3="D/ST", H3*10.813, "ERROR")))))),0)</f>
        <v>4</v>
      </c>
      <c r="K3" s="16" t="s">
        <v>25</v>
      </c>
      <c r="L3" s="11">
        <f ca="1">CountCellsByColor(B3:B18,K3)</f>
        <v>11</v>
      </c>
    </row>
    <row r="4" spans="1:13" ht="21" customHeight="1" x14ac:dyDescent="0.25">
      <c r="A4" s="7">
        <v>2</v>
      </c>
      <c r="B4" s="4" t="s">
        <v>83</v>
      </c>
      <c r="C4" s="21" t="s">
        <v>179</v>
      </c>
      <c r="D4" s="1">
        <v>16</v>
      </c>
      <c r="E4" s="1">
        <v>5</v>
      </c>
      <c r="F4" s="1">
        <v>11</v>
      </c>
      <c r="G4" s="24">
        <v>16.899999999999999</v>
      </c>
      <c r="H4" s="3">
        <f t="shared" ref="H4:H17" si="0">E4-F4</f>
        <v>-6</v>
      </c>
      <c r="I4" s="3">
        <f t="shared" ref="I4:I18" si="1">ROUND(IF(C4="WR", H4, IF(C4="RB", H4*1.326, IF(C4="QB", H4*3.145, IF(C4="TE", H4*3.495, IF(C4="K", H4*8.65, IF(C4="D/ST", H4*10.813, "ERROR")))))),0)</f>
        <v>-6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84</v>
      </c>
      <c r="C5" s="21" t="s">
        <v>179</v>
      </c>
      <c r="D5" s="1">
        <v>25</v>
      </c>
      <c r="E5" s="1">
        <v>9</v>
      </c>
      <c r="F5" s="1">
        <v>12</v>
      </c>
      <c r="G5" s="24">
        <v>15.2</v>
      </c>
      <c r="H5" s="3">
        <f t="shared" si="0"/>
        <v>-3</v>
      </c>
      <c r="I5" s="3">
        <f t="shared" si="1"/>
        <v>-3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85</v>
      </c>
      <c r="C6" s="21" t="s">
        <v>180</v>
      </c>
      <c r="D6" s="1">
        <v>36</v>
      </c>
      <c r="E6" s="1">
        <v>1</v>
      </c>
      <c r="F6" s="1">
        <v>11</v>
      </c>
      <c r="G6" s="24">
        <v>21.3</v>
      </c>
      <c r="H6" s="3">
        <f t="shared" si="0"/>
        <v>-10</v>
      </c>
      <c r="I6" s="3">
        <f t="shared" si="1"/>
        <v>-31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12" t="s">
        <v>86</v>
      </c>
      <c r="C7" s="21" t="s">
        <v>177</v>
      </c>
      <c r="D7" s="1">
        <v>45</v>
      </c>
      <c r="E7" s="1">
        <v>19</v>
      </c>
      <c r="F7" s="1">
        <v>48</v>
      </c>
      <c r="G7" s="24">
        <v>5.0999999999999996</v>
      </c>
      <c r="H7" s="3">
        <f t="shared" si="0"/>
        <v>-29</v>
      </c>
      <c r="I7" s="3">
        <f t="shared" si="1"/>
        <v>-38</v>
      </c>
      <c r="K7" s="36"/>
      <c r="L7" s="36"/>
      <c r="M7" s="36"/>
    </row>
    <row r="8" spans="1:13" ht="21" customHeight="1" x14ac:dyDescent="0.25">
      <c r="A8" s="7">
        <v>6</v>
      </c>
      <c r="B8" s="4" t="s">
        <v>87</v>
      </c>
      <c r="C8" s="21" t="s">
        <v>179</v>
      </c>
      <c r="D8" s="1">
        <v>56</v>
      </c>
      <c r="E8" s="1">
        <v>23</v>
      </c>
      <c r="F8" s="1">
        <v>60</v>
      </c>
      <c r="G8" s="24">
        <v>6</v>
      </c>
      <c r="H8" s="2">
        <f t="shared" si="0"/>
        <v>-37</v>
      </c>
      <c r="I8" s="2">
        <f t="shared" si="1"/>
        <v>-37</v>
      </c>
      <c r="K8" s="37"/>
      <c r="L8" s="38"/>
      <c r="M8" s="38"/>
    </row>
    <row r="9" spans="1:13" ht="21" customHeight="1" x14ac:dyDescent="0.25">
      <c r="A9" s="7">
        <v>7</v>
      </c>
      <c r="B9" s="4" t="s">
        <v>88</v>
      </c>
      <c r="C9" s="21" t="s">
        <v>179</v>
      </c>
      <c r="D9" s="1">
        <v>65</v>
      </c>
      <c r="E9" s="1">
        <v>28</v>
      </c>
      <c r="F9" s="1">
        <v>48</v>
      </c>
      <c r="G9" s="24">
        <v>8.6</v>
      </c>
      <c r="H9" s="3">
        <f t="shared" si="0"/>
        <v>-20</v>
      </c>
      <c r="I9" s="3">
        <f t="shared" si="1"/>
        <v>-20</v>
      </c>
      <c r="K9" s="37"/>
      <c r="L9" s="38"/>
      <c r="M9" s="38"/>
    </row>
    <row r="10" spans="1:13" ht="21" customHeight="1" x14ac:dyDescent="0.25">
      <c r="A10" s="7">
        <v>8</v>
      </c>
      <c r="B10" s="4" t="s">
        <v>89</v>
      </c>
      <c r="C10" s="21" t="s">
        <v>177</v>
      </c>
      <c r="D10" s="1">
        <v>76</v>
      </c>
      <c r="E10" s="1">
        <v>29</v>
      </c>
      <c r="F10" s="1">
        <v>22</v>
      </c>
      <c r="G10" s="24">
        <v>9.4</v>
      </c>
      <c r="H10" s="3">
        <f t="shared" si="0"/>
        <v>7</v>
      </c>
      <c r="I10" s="3">
        <f t="shared" si="1"/>
        <v>9</v>
      </c>
      <c r="K10" s="37"/>
      <c r="L10" s="39"/>
      <c r="M10" s="28"/>
    </row>
    <row r="11" spans="1:13" ht="21" customHeight="1" x14ac:dyDescent="0.25">
      <c r="A11" s="7">
        <v>9</v>
      </c>
      <c r="B11" s="4" t="s">
        <v>90</v>
      </c>
      <c r="C11" s="21" t="s">
        <v>177</v>
      </c>
      <c r="D11" s="1">
        <v>85</v>
      </c>
      <c r="E11" s="1">
        <v>32</v>
      </c>
      <c r="F11" s="1">
        <v>19</v>
      </c>
      <c r="G11" s="24">
        <v>9.9</v>
      </c>
      <c r="H11" s="3">
        <f t="shared" si="0"/>
        <v>13</v>
      </c>
      <c r="I11" s="3">
        <f t="shared" si="1"/>
        <v>17</v>
      </c>
      <c r="K11" s="37"/>
      <c r="L11" s="31"/>
      <c r="M11" s="31"/>
    </row>
    <row r="12" spans="1:13" ht="21" customHeight="1" x14ac:dyDescent="0.25">
      <c r="A12" s="7">
        <v>10</v>
      </c>
      <c r="B12" s="4" t="s">
        <v>91</v>
      </c>
      <c r="C12" s="21" t="s">
        <v>179</v>
      </c>
      <c r="D12" s="1">
        <v>96</v>
      </c>
      <c r="E12" s="1">
        <v>42</v>
      </c>
      <c r="F12" s="1">
        <v>44</v>
      </c>
      <c r="G12" s="24">
        <v>8</v>
      </c>
      <c r="H12" s="3">
        <f t="shared" si="0"/>
        <v>-2</v>
      </c>
      <c r="I12" s="3">
        <f t="shared" si="1"/>
        <v>-2</v>
      </c>
      <c r="K12" s="37"/>
      <c r="L12" s="31"/>
      <c r="M12" s="31"/>
    </row>
    <row r="13" spans="1:13" ht="21" customHeight="1" x14ac:dyDescent="0.25">
      <c r="A13" s="7">
        <v>11</v>
      </c>
      <c r="B13" s="4" t="s">
        <v>92</v>
      </c>
      <c r="C13" s="21" t="s">
        <v>178</v>
      </c>
      <c r="D13" s="1">
        <v>105</v>
      </c>
      <c r="E13" s="1">
        <v>9</v>
      </c>
      <c r="F13" s="1">
        <v>6</v>
      </c>
      <c r="G13" s="24">
        <v>11</v>
      </c>
      <c r="H13" s="3">
        <f t="shared" si="0"/>
        <v>3</v>
      </c>
      <c r="I13" s="3">
        <f t="shared" si="1"/>
        <v>10</v>
      </c>
      <c r="K13" s="37"/>
      <c r="L13" s="31"/>
      <c r="M13" s="31"/>
    </row>
    <row r="14" spans="1:13" ht="21" customHeight="1" x14ac:dyDescent="0.25">
      <c r="A14" s="7">
        <v>12</v>
      </c>
      <c r="B14" s="12" t="s">
        <v>93</v>
      </c>
      <c r="C14" s="21" t="s">
        <v>177</v>
      </c>
      <c r="D14" s="1">
        <v>116</v>
      </c>
      <c r="E14" s="1">
        <v>43</v>
      </c>
      <c r="F14" s="1">
        <v>55</v>
      </c>
      <c r="G14" s="24">
        <v>5.7</v>
      </c>
      <c r="H14" s="3">
        <f t="shared" si="0"/>
        <v>-12</v>
      </c>
      <c r="I14" s="3">
        <f t="shared" si="1"/>
        <v>-16</v>
      </c>
      <c r="K14" s="37"/>
      <c r="L14" s="31"/>
      <c r="M14" s="31"/>
    </row>
    <row r="15" spans="1:13" ht="21" customHeight="1" x14ac:dyDescent="0.25">
      <c r="A15" s="7">
        <v>13</v>
      </c>
      <c r="B15" s="12" t="s">
        <v>94</v>
      </c>
      <c r="C15" s="21" t="s">
        <v>179</v>
      </c>
      <c r="D15" s="1">
        <v>125</v>
      </c>
      <c r="E15" s="1">
        <v>49</v>
      </c>
      <c r="F15" s="1">
        <v>137</v>
      </c>
      <c r="G15" s="24">
        <v>0.7</v>
      </c>
      <c r="H15" s="2">
        <f t="shared" si="0"/>
        <v>-88</v>
      </c>
      <c r="I15" s="2">
        <f t="shared" si="1"/>
        <v>-88</v>
      </c>
      <c r="K15" s="37"/>
      <c r="L15" s="31"/>
      <c r="M15" s="31"/>
    </row>
    <row r="16" spans="1:13" ht="21" customHeight="1" x14ac:dyDescent="0.25">
      <c r="A16" s="7">
        <v>14</v>
      </c>
      <c r="B16" s="12" t="s">
        <v>95</v>
      </c>
      <c r="C16" s="21" t="s">
        <v>182</v>
      </c>
      <c r="D16" s="1">
        <v>136</v>
      </c>
      <c r="E16" s="1">
        <v>7</v>
      </c>
      <c r="F16" s="1">
        <v>4</v>
      </c>
      <c r="G16" s="24">
        <v>8.6</v>
      </c>
      <c r="H16" s="3">
        <f t="shared" si="0"/>
        <v>3</v>
      </c>
      <c r="I16" s="3">
        <f t="shared" si="1"/>
        <v>32</v>
      </c>
      <c r="K16" s="37"/>
      <c r="L16" s="40"/>
      <c r="M16" s="40"/>
    </row>
    <row r="17" spans="1:13" ht="21" customHeight="1" x14ac:dyDescent="0.25">
      <c r="A17" s="7">
        <v>15</v>
      </c>
      <c r="B17" s="4" t="s">
        <v>96</v>
      </c>
      <c r="C17" s="21" t="s">
        <v>181</v>
      </c>
      <c r="D17" s="1">
        <v>145</v>
      </c>
      <c r="E17" s="1">
        <v>8</v>
      </c>
      <c r="F17" s="1">
        <v>7</v>
      </c>
      <c r="G17" s="24">
        <v>10.3</v>
      </c>
      <c r="H17" s="3">
        <f t="shared" si="0"/>
        <v>1</v>
      </c>
      <c r="I17" s="3">
        <f t="shared" si="1"/>
        <v>9</v>
      </c>
      <c r="K17" s="37"/>
      <c r="L17" s="40"/>
      <c r="M17" s="40"/>
    </row>
    <row r="18" spans="1:13" ht="21" customHeight="1" x14ac:dyDescent="0.25">
      <c r="A18" s="7">
        <v>16</v>
      </c>
      <c r="B18" s="12" t="s">
        <v>97</v>
      </c>
      <c r="C18" s="21" t="s">
        <v>178</v>
      </c>
      <c r="D18" s="1">
        <v>156</v>
      </c>
      <c r="E18" s="1">
        <v>14</v>
      </c>
      <c r="F18" s="13">
        <v>25</v>
      </c>
      <c r="G18" s="25">
        <v>4.8</v>
      </c>
      <c r="H18" s="19">
        <f>E18-F18</f>
        <v>-11</v>
      </c>
      <c r="I18" s="19">
        <f t="shared" si="1"/>
        <v>-38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-188</v>
      </c>
      <c r="D21" s="56"/>
      <c r="E21" s="56">
        <f>SUM(I3:I18)</f>
        <v>-198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-11.75</v>
      </c>
      <c r="D22" s="56"/>
      <c r="E22" s="56">
        <f>E21/16</f>
        <v>-12.375</v>
      </c>
      <c r="F22" s="56"/>
      <c r="K22" s="26"/>
      <c r="L22" s="26"/>
      <c r="M22" s="26"/>
    </row>
    <row r="23" spans="1:13" ht="21" customHeight="1" x14ac:dyDescent="0.25">
      <c r="B23" s="35" t="s">
        <v>196</v>
      </c>
      <c r="C23" s="57">
        <f>AVERAGE(G3:G18)</f>
        <v>10.2125</v>
      </c>
      <c r="D23" s="57"/>
      <c r="E23" s="60"/>
      <c r="F23" s="60"/>
    </row>
    <row r="24" spans="1:13" ht="33.75" customHeight="1" x14ac:dyDescent="0.25">
      <c r="B24" s="35" t="s">
        <v>197</v>
      </c>
      <c r="C24" s="53" t="str">
        <f>INDEX(B3:B18,MATCH(MAX(G3:G18),G3:G18,0),1) &amp; " at " &amp; MAX(G3:G18) &amp; " average points."</f>
        <v>Saquan Barkley at 21.9 average points.</v>
      </c>
      <c r="D24" s="53"/>
      <c r="E24" s="58"/>
      <c r="F24" s="58"/>
    </row>
    <row r="25" spans="1:13" ht="33.75" customHeight="1" x14ac:dyDescent="0.25">
      <c r="B25" s="35" t="s">
        <v>198</v>
      </c>
      <c r="C25" s="53" t="str">
        <f>INDEX(B3:B18,MATCH(MIN(G3:G18),G3:G18,0),1) &amp; " at " &amp; MIN(G3:G18) &amp; " average points."</f>
        <v>Devante Parker at 0.7 average points.</v>
      </c>
      <c r="D25" s="53"/>
      <c r="E25" s="58"/>
      <c r="F25" s="58"/>
    </row>
    <row r="26" spans="1:13" ht="33.75" customHeight="1" x14ac:dyDescent="0.25">
      <c r="B26" s="35" t="s">
        <v>23</v>
      </c>
      <c r="C26" s="53" t="str">
        <f>INDEX(B3:B18,MATCH(MAX(H3:H18),H3:H18,0),1) &amp; " at a " &amp; MAX(H3:H18) &amp; " differential."</f>
        <v>Tevin Coleman at a 13 differential.</v>
      </c>
      <c r="D26" s="53"/>
      <c r="E26" s="53" t="str">
        <f>INDEX(B3:B18,MATCH(MAX(I3:I18),I3:I18,0),1) &amp; " at a " &amp; MAX(I3:I18) &amp; " differential."</f>
        <v>Bal D/ST at a 32 differential.</v>
      </c>
      <c r="F26" s="53"/>
    </row>
    <row r="27" spans="1:13" ht="33.75" customHeight="1" x14ac:dyDescent="0.25">
      <c r="B27" s="35" t="s">
        <v>45</v>
      </c>
      <c r="C27" s="53" t="str">
        <f>INDEX(B3:B18,MATCH(MIN(H3:H18),H3:H18,0),1) &amp; " at a " &amp; MIN(H3:H18) &amp; " differential."</f>
        <v>Devante Parker at a -88 differential.</v>
      </c>
      <c r="D27" s="53"/>
      <c r="E27" s="53" t="str">
        <f>INDEX(B3:B18,MATCH(MIN(I3:I18),I3:I18,0),1) &amp; " at a " &amp; MIN(I3:I18) &amp; " differential."</f>
        <v>Devante Parker at a -88 differential.</v>
      </c>
      <c r="F27" s="53"/>
    </row>
    <row r="28" spans="1:13" ht="33.75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Devante Parker at a -88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Devante Parker at a -88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Jared Goff</v>
      </c>
      <c r="D29" s="53"/>
      <c r="E29" s="54" t="str">
        <f ca="1">GetBetterDraftPick(MinMinusCellColorOfRelatedRow(B3:B18, I3:I18, K5), INDEX(D3:D18,MATCH(MinMinusCellColorOfRelatedRow(B3:B18, I3:I18, K5),I3:I18,0),1),A1)</f>
        <v>Jared Goff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DeShean Jackson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DeShean Jackson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-51</v>
      </c>
      <c r="D31" s="52"/>
      <c r="E31" s="52">
        <f ca="1">SumCellsInRowByColor(B3:B18, I3:I18, K3)</f>
        <v>-50</v>
      </c>
      <c r="F31" s="52"/>
    </row>
    <row r="32" spans="1:13" ht="21" customHeight="1" x14ac:dyDescent="0.25">
      <c r="B32" s="35" t="s">
        <v>80</v>
      </c>
      <c r="C32" s="52">
        <f ca="1">C31/L3</f>
        <v>-4.6363636363636367</v>
      </c>
      <c r="D32" s="52"/>
      <c r="E32" s="52">
        <f ca="1">E31/L3</f>
        <v>-4.5454545454545459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-137</v>
      </c>
      <c r="D33" s="52"/>
      <c r="E33" s="52">
        <f ca="1">SumCellsInRowByColor(B3:B18, I3:I18, K4)</f>
        <v>-148</v>
      </c>
      <c r="F33" s="52"/>
    </row>
    <row r="34" spans="2:6" ht="21" customHeight="1" x14ac:dyDescent="0.25">
      <c r="B34" s="35" t="s">
        <v>78</v>
      </c>
      <c r="C34" s="52">
        <f ca="1">C33/L4</f>
        <v>-27.4</v>
      </c>
      <c r="D34" s="52"/>
      <c r="E34" s="52">
        <f ca="1">E33/L4</f>
        <v>-29.6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A1:I1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0:D20"/>
    <mergeCell ref="E20:F20"/>
    <mergeCell ref="C21:D21"/>
    <mergeCell ref="E21:F21"/>
    <mergeCell ref="C22:D22"/>
    <mergeCell ref="E22:F22"/>
  </mergeCells>
  <conditionalFormatting sqref="H3:I18">
    <cfRule type="cellIs" dxfId="17" priority="1" operator="equal">
      <formula>0</formula>
    </cfRule>
    <cfRule type="cellIs" dxfId="16" priority="2" operator="greaterThan">
      <formula>0</formula>
    </cfRule>
    <cfRule type="cellIs" dxfId="15" priority="3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6"/>
  <sheetViews>
    <sheetView zoomScale="70" zoomScaleNormal="70" workbookViewId="0">
      <selection activeCell="J29" sqref="J29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ht="22.5" customHeight="1" x14ac:dyDescent="0.25">
      <c r="A1" s="59" t="s">
        <v>204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98</v>
      </c>
      <c r="C3" s="21" t="s">
        <v>177</v>
      </c>
      <c r="D3" s="1">
        <v>6</v>
      </c>
      <c r="E3" s="1">
        <v>6</v>
      </c>
      <c r="F3" s="1">
        <v>4</v>
      </c>
      <c r="G3" s="24">
        <v>22.2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14</v>
      </c>
    </row>
    <row r="4" spans="1:13" ht="21" customHeight="1" x14ac:dyDescent="0.25">
      <c r="A4" s="7">
        <v>2</v>
      </c>
      <c r="B4" s="4" t="s">
        <v>99</v>
      </c>
      <c r="C4" s="21" t="s">
        <v>178</v>
      </c>
      <c r="D4" s="1">
        <v>15</v>
      </c>
      <c r="E4" s="1">
        <v>1</v>
      </c>
      <c r="F4" s="1">
        <v>8</v>
      </c>
      <c r="G4" s="24">
        <v>7.9</v>
      </c>
      <c r="H4" s="3">
        <f t="shared" ref="H4:H17" si="0">E4-F4</f>
        <v>-7</v>
      </c>
      <c r="I4" s="3">
        <f t="shared" ref="I4:I18" si="1">ROUND(IF(C4="WR", H4, IF(C4="RB", H4*1.326, IF(C4="QB", H4*3.145, IF(C4="TE", H4*3.495, IF(C4="K", H4*8.65, IF(C4="D/ST", H4*10.813, "ERROR")))))),0)</f>
        <v>-24</v>
      </c>
      <c r="K4" s="17" t="s">
        <v>27</v>
      </c>
      <c r="L4" s="11">
        <f ca="1">CountCellsByColor(B3:B18,K4)</f>
        <v>2</v>
      </c>
    </row>
    <row r="5" spans="1:13" ht="21" customHeight="1" x14ac:dyDescent="0.25">
      <c r="A5" s="7">
        <v>3</v>
      </c>
      <c r="B5" s="4" t="s">
        <v>100</v>
      </c>
      <c r="C5" s="21" t="s">
        <v>179</v>
      </c>
      <c r="D5" s="1">
        <v>26</v>
      </c>
      <c r="E5" s="1">
        <v>10</v>
      </c>
      <c r="F5" s="1">
        <v>13</v>
      </c>
      <c r="G5" s="24">
        <v>12.9</v>
      </c>
      <c r="H5" s="3">
        <f t="shared" si="0"/>
        <v>-3</v>
      </c>
      <c r="I5" s="3">
        <f t="shared" si="1"/>
        <v>-3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101</v>
      </c>
      <c r="C6" s="21" t="s">
        <v>179</v>
      </c>
      <c r="D6" s="1">
        <v>35</v>
      </c>
      <c r="E6" s="1">
        <v>15</v>
      </c>
      <c r="F6" s="1">
        <v>21</v>
      </c>
      <c r="G6" s="24">
        <v>13.8</v>
      </c>
      <c r="H6" s="3">
        <f t="shared" si="0"/>
        <v>-6</v>
      </c>
      <c r="I6" s="3">
        <f t="shared" si="1"/>
        <v>-6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102</v>
      </c>
      <c r="C7" s="21" t="s">
        <v>179</v>
      </c>
      <c r="D7" s="1">
        <v>46</v>
      </c>
      <c r="E7" s="1">
        <v>20</v>
      </c>
      <c r="F7" s="1">
        <v>34</v>
      </c>
      <c r="G7" s="24">
        <v>9.1999999999999993</v>
      </c>
      <c r="H7" s="3">
        <f t="shared" si="0"/>
        <v>-14</v>
      </c>
      <c r="I7" s="3">
        <f t="shared" si="1"/>
        <v>-14</v>
      </c>
      <c r="K7" s="36"/>
      <c r="L7" s="36"/>
      <c r="M7" s="36"/>
    </row>
    <row r="8" spans="1:13" ht="21" customHeight="1" x14ac:dyDescent="0.25">
      <c r="A8" s="7">
        <v>6</v>
      </c>
      <c r="B8" s="4" t="s">
        <v>103</v>
      </c>
      <c r="C8" s="21" t="s">
        <v>177</v>
      </c>
      <c r="D8" s="1">
        <v>55</v>
      </c>
      <c r="E8" s="1">
        <v>21</v>
      </c>
      <c r="F8" s="1">
        <v>31</v>
      </c>
      <c r="G8" s="24">
        <v>7.9</v>
      </c>
      <c r="H8" s="2">
        <f t="shared" si="0"/>
        <v>-10</v>
      </c>
      <c r="I8" s="2">
        <f t="shared" si="1"/>
        <v>-13</v>
      </c>
      <c r="K8" s="37"/>
      <c r="L8" s="38"/>
      <c r="M8" s="38"/>
    </row>
    <row r="9" spans="1:13" ht="21" customHeight="1" x14ac:dyDescent="0.25">
      <c r="A9" s="7">
        <v>7</v>
      </c>
      <c r="B9" s="4" t="s">
        <v>104</v>
      </c>
      <c r="C9" s="21" t="s">
        <v>178</v>
      </c>
      <c r="D9" s="1">
        <v>66</v>
      </c>
      <c r="E9" s="1">
        <v>5</v>
      </c>
      <c r="F9" s="1">
        <v>11</v>
      </c>
      <c r="G9" s="24">
        <v>8.6</v>
      </c>
      <c r="H9" s="3">
        <f t="shared" si="0"/>
        <v>-6</v>
      </c>
      <c r="I9" s="3">
        <f t="shared" si="1"/>
        <v>-21</v>
      </c>
      <c r="K9" s="37"/>
      <c r="L9" s="38"/>
      <c r="M9" s="38"/>
    </row>
    <row r="10" spans="1:13" ht="21" customHeight="1" x14ac:dyDescent="0.25">
      <c r="A10" s="7">
        <v>8</v>
      </c>
      <c r="B10" s="4" t="s">
        <v>105</v>
      </c>
      <c r="C10" s="21" t="s">
        <v>177</v>
      </c>
      <c r="D10" s="1">
        <v>75</v>
      </c>
      <c r="E10" s="1">
        <v>28</v>
      </c>
      <c r="F10" s="1">
        <v>13</v>
      </c>
      <c r="G10" s="24">
        <v>12.8</v>
      </c>
      <c r="H10" s="3">
        <f t="shared" si="0"/>
        <v>15</v>
      </c>
      <c r="I10" s="3">
        <f t="shared" si="1"/>
        <v>20</v>
      </c>
      <c r="K10" s="37"/>
      <c r="L10" s="39"/>
      <c r="M10" s="28"/>
    </row>
    <row r="11" spans="1:13" ht="21" customHeight="1" x14ac:dyDescent="0.25">
      <c r="A11" s="7">
        <v>9</v>
      </c>
      <c r="B11" s="4" t="s">
        <v>106</v>
      </c>
      <c r="C11" s="21" t="s">
        <v>179</v>
      </c>
      <c r="D11" s="1">
        <v>86</v>
      </c>
      <c r="E11" s="1">
        <v>38</v>
      </c>
      <c r="F11" s="1">
        <v>13</v>
      </c>
      <c r="G11" s="24">
        <v>12.9</v>
      </c>
      <c r="H11" s="3">
        <f t="shared" si="0"/>
        <v>25</v>
      </c>
      <c r="I11" s="3">
        <f t="shared" si="1"/>
        <v>25</v>
      </c>
      <c r="K11" s="37"/>
      <c r="L11" s="31"/>
      <c r="M11" s="31"/>
    </row>
    <row r="12" spans="1:13" ht="21" customHeight="1" x14ac:dyDescent="0.25">
      <c r="A12" s="7">
        <v>10</v>
      </c>
      <c r="B12" s="4" t="s">
        <v>141</v>
      </c>
      <c r="C12" s="21" t="s">
        <v>182</v>
      </c>
      <c r="D12" s="1">
        <v>95</v>
      </c>
      <c r="E12" s="1">
        <v>3</v>
      </c>
      <c r="F12" s="1">
        <v>1</v>
      </c>
      <c r="G12" s="24">
        <v>9.6999999999999993</v>
      </c>
      <c r="H12" s="3">
        <f t="shared" si="0"/>
        <v>2</v>
      </c>
      <c r="I12" s="3">
        <f t="shared" si="1"/>
        <v>22</v>
      </c>
      <c r="K12" s="37"/>
      <c r="L12" s="31"/>
      <c r="M12" s="31"/>
    </row>
    <row r="13" spans="1:13" ht="21" customHeight="1" x14ac:dyDescent="0.25">
      <c r="A13" s="7">
        <v>11</v>
      </c>
      <c r="B13" s="4" t="s">
        <v>107</v>
      </c>
      <c r="C13" s="21" t="s">
        <v>180</v>
      </c>
      <c r="D13" s="1">
        <v>106</v>
      </c>
      <c r="E13" s="1">
        <v>10</v>
      </c>
      <c r="F13" s="1">
        <v>2</v>
      </c>
      <c r="G13" s="24">
        <v>23.4</v>
      </c>
      <c r="H13" s="3">
        <f t="shared" si="0"/>
        <v>8</v>
      </c>
      <c r="I13" s="3">
        <f t="shared" si="1"/>
        <v>25</v>
      </c>
      <c r="K13" s="37"/>
      <c r="L13" s="31"/>
      <c r="M13" s="31"/>
    </row>
    <row r="14" spans="1:13" ht="21" customHeight="1" x14ac:dyDescent="0.25">
      <c r="A14" s="7">
        <v>12</v>
      </c>
      <c r="B14" s="4" t="s">
        <v>108</v>
      </c>
      <c r="C14" s="21" t="s">
        <v>177</v>
      </c>
      <c r="D14" s="1">
        <v>115</v>
      </c>
      <c r="E14" s="1">
        <v>42</v>
      </c>
      <c r="F14" s="1">
        <v>41</v>
      </c>
      <c r="G14" s="24">
        <v>5.9</v>
      </c>
      <c r="H14" s="3">
        <f t="shared" si="0"/>
        <v>1</v>
      </c>
      <c r="I14" s="3">
        <f t="shared" si="1"/>
        <v>1</v>
      </c>
      <c r="K14" s="37"/>
      <c r="L14" s="31"/>
      <c r="M14" s="31"/>
    </row>
    <row r="15" spans="1:13" ht="21" customHeight="1" x14ac:dyDescent="0.25">
      <c r="A15" s="7">
        <v>13</v>
      </c>
      <c r="B15" s="4" t="s">
        <v>109</v>
      </c>
      <c r="C15" s="21" t="s">
        <v>181</v>
      </c>
      <c r="D15" s="1">
        <v>126</v>
      </c>
      <c r="E15" s="1">
        <v>6</v>
      </c>
      <c r="F15" s="1">
        <v>14</v>
      </c>
      <c r="G15" s="24">
        <v>9.1999999999999993</v>
      </c>
      <c r="H15" s="2">
        <f t="shared" si="0"/>
        <v>-8</v>
      </c>
      <c r="I15" s="2">
        <f t="shared" si="1"/>
        <v>-69</v>
      </c>
      <c r="K15" s="37"/>
      <c r="L15" s="31"/>
      <c r="M15" s="31"/>
    </row>
    <row r="16" spans="1:13" ht="21" customHeight="1" x14ac:dyDescent="0.25">
      <c r="A16" s="7">
        <v>14</v>
      </c>
      <c r="B16" s="12" t="s">
        <v>110</v>
      </c>
      <c r="C16" s="21" t="s">
        <v>178</v>
      </c>
      <c r="D16" s="1">
        <v>135</v>
      </c>
      <c r="E16" s="1">
        <v>11</v>
      </c>
      <c r="F16" s="1">
        <v>53</v>
      </c>
      <c r="G16" s="24">
        <v>1.5</v>
      </c>
      <c r="H16" s="3">
        <f t="shared" si="0"/>
        <v>-42</v>
      </c>
      <c r="I16" s="3">
        <f t="shared" si="1"/>
        <v>-147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111</v>
      </c>
      <c r="C17" s="21" t="s">
        <v>179</v>
      </c>
      <c r="D17" s="1">
        <v>146</v>
      </c>
      <c r="E17" s="1">
        <v>56</v>
      </c>
      <c r="F17" s="1">
        <v>18</v>
      </c>
      <c r="G17" s="24">
        <v>12.2</v>
      </c>
      <c r="H17" s="3">
        <f t="shared" si="0"/>
        <v>38</v>
      </c>
      <c r="I17" s="3">
        <f t="shared" si="1"/>
        <v>38</v>
      </c>
      <c r="K17" s="37"/>
      <c r="L17" s="40"/>
      <c r="M17" s="40"/>
    </row>
    <row r="18" spans="1:13" ht="21" customHeight="1" x14ac:dyDescent="0.25">
      <c r="A18" s="7">
        <v>16</v>
      </c>
      <c r="B18" s="4" t="s">
        <v>112</v>
      </c>
      <c r="C18" s="21" t="s">
        <v>177</v>
      </c>
      <c r="D18" s="1">
        <v>155</v>
      </c>
      <c r="E18" s="1">
        <v>52</v>
      </c>
      <c r="F18" s="13">
        <v>86</v>
      </c>
      <c r="G18" s="25">
        <v>0.7</v>
      </c>
      <c r="H18" s="19">
        <f>E18-F18</f>
        <v>-34</v>
      </c>
      <c r="I18" s="19">
        <f t="shared" si="1"/>
        <v>-45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-39</v>
      </c>
      <c r="D21" s="56"/>
      <c r="E21" s="56">
        <f>SUM(I3:I18)</f>
        <v>-208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-2.4375</v>
      </c>
      <c r="D22" s="56"/>
      <c r="E22" s="56">
        <f>E21/16</f>
        <v>-13</v>
      </c>
      <c r="F22" s="56"/>
    </row>
    <row r="23" spans="1:13" ht="21" customHeight="1" x14ac:dyDescent="0.25">
      <c r="B23" s="35" t="s">
        <v>196</v>
      </c>
      <c r="C23" s="57">
        <f>AVERAGE(G3:G18)</f>
        <v>10.674999999999999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Matt Ryan at 23.4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Darren Sproles at 0.7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Calvin Ridley at a 38 differential.</v>
      </c>
      <c r="D26" s="53"/>
      <c r="E26" s="53" t="str">
        <f>INDEX(B3:B18,MATCH(MAX(I3:I18),I3:I18,0),1) &amp; " at a " &amp; MAX(I3:I18) &amp; " differential."</f>
        <v>Calvin Ridley at a 38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Jack Doyle at a -42 differential.</v>
      </c>
      <c r="D27" s="53"/>
      <c r="E27" s="53" t="str">
        <f>INDEX(B3:B18,MATCH(MIN(I3:I18),I3:I18,0),1) &amp; " at a " &amp; MIN(I3:I18) &amp; " differential."</f>
        <v>Jack Doyle at a -147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Jack Doyle at a -42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Jack Doyle at a -147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Dak Prescott</v>
      </c>
      <c r="D29" s="53"/>
      <c r="E29" s="54" t="str">
        <f ca="1">GetBetterDraftPick(MinMinusCellColorOfRelatedRow(B3:B18, I3:I18, K5), INDEX(D3:D18,MATCH(MinMinusCellColorOfRelatedRow(B3:B18, I3:I18, K5),I3:I18,0),1),A1)</f>
        <v>Dak Prescott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Austin Hooper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Austin Hooper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-35</v>
      </c>
      <c r="D31" s="52"/>
      <c r="E31" s="52">
        <f ca="1">SumCellsInRowByColor(B3:B18, I3:I18, K3)</f>
        <v>-99</v>
      </c>
      <c r="F31" s="52"/>
    </row>
    <row r="32" spans="1:13" ht="21" customHeight="1" x14ac:dyDescent="0.25">
      <c r="B32" s="35" t="s">
        <v>80</v>
      </c>
      <c r="C32" s="52">
        <f ca="1">C31/L3</f>
        <v>-2.5</v>
      </c>
      <c r="D32" s="52"/>
      <c r="E32" s="52">
        <f ca="1">E31/L3</f>
        <v>-7.0714285714285712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-4</v>
      </c>
      <c r="D33" s="52"/>
      <c r="E33" s="52">
        <f ca="1">SumCellsInRowByColor(B3:B18, I3:I18, K4)</f>
        <v>-109</v>
      </c>
      <c r="F33" s="52"/>
    </row>
    <row r="34" spans="2:6" ht="21" customHeight="1" x14ac:dyDescent="0.25">
      <c r="B34" s="35" t="s">
        <v>78</v>
      </c>
      <c r="C34" s="52">
        <f ca="1">C33/L4</f>
        <v>-2</v>
      </c>
      <c r="D34" s="52"/>
      <c r="E34" s="52">
        <f ca="1">E33/L4</f>
        <v>-54.5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14" priority="1" operator="equal">
      <formula>0</formula>
    </cfRule>
    <cfRule type="cellIs" dxfId="13" priority="2" operator="greaterThan">
      <formula>0</formula>
    </cfRule>
    <cfRule type="cellIs" dxfId="12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6"/>
  <sheetViews>
    <sheetView zoomScale="70" zoomScaleNormal="70" workbookViewId="0">
      <selection activeCell="G3" sqref="G3:G5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140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9" t="s">
        <v>205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113</v>
      </c>
      <c r="C3" s="21" t="s">
        <v>177</v>
      </c>
      <c r="D3" s="1">
        <v>7</v>
      </c>
      <c r="E3" s="1">
        <v>7</v>
      </c>
      <c r="F3" s="1">
        <v>77</v>
      </c>
      <c r="G3" s="24">
        <v>1.4</v>
      </c>
      <c r="H3" s="2">
        <f>E3-F3</f>
        <v>-70</v>
      </c>
      <c r="I3" s="2">
        <f>ROUND(IF(C3="WR", H3, IF(C3="RB", H3*1.326, IF(C3="QB", H3*3.145, IF(C3="TE", H3*3.495, IF(C3="K", H3*8.65, IF(C3="D/ST", H3*10.813, "ERROR")))))),0)</f>
        <v>-93</v>
      </c>
      <c r="K3" s="16" t="s">
        <v>25</v>
      </c>
      <c r="L3" s="11">
        <f ca="1">CountCellsByColor(B3:B18,K3)</f>
        <v>7</v>
      </c>
    </row>
    <row r="4" spans="1:13" ht="21" customHeight="1" x14ac:dyDescent="0.25">
      <c r="A4" s="7">
        <v>2</v>
      </c>
      <c r="B4" s="4" t="s">
        <v>114</v>
      </c>
      <c r="C4" s="21" t="s">
        <v>179</v>
      </c>
      <c r="D4" s="1">
        <v>14</v>
      </c>
      <c r="E4" s="1">
        <v>4</v>
      </c>
      <c r="F4" s="1">
        <v>3</v>
      </c>
      <c r="G4" s="24">
        <v>16.2</v>
      </c>
      <c r="H4" s="3">
        <f t="shared" ref="H4:H17" si="0">E4-F4</f>
        <v>1</v>
      </c>
      <c r="I4" s="3">
        <f t="shared" ref="I4:I18" si="1">ROUND(IF(C4="WR", H4, IF(C4="RB", H4*1.326, IF(C4="QB", H4*3.145, IF(C4="TE", H4*3.495, IF(C4="K", H4*8.65, IF(C4="D/ST", H4*10.813, "ERROR")))))),0)</f>
        <v>1</v>
      </c>
      <c r="K4" s="17" t="s">
        <v>27</v>
      </c>
      <c r="L4" s="11">
        <f ca="1">CountCellsByColor(B3:B18,K4)</f>
        <v>5</v>
      </c>
    </row>
    <row r="5" spans="1:13" ht="21" customHeight="1" x14ac:dyDescent="0.25">
      <c r="A5" s="7">
        <v>3</v>
      </c>
      <c r="B5" s="4" t="s">
        <v>115</v>
      </c>
      <c r="C5" s="21" t="s">
        <v>179</v>
      </c>
      <c r="D5" s="1">
        <v>27</v>
      </c>
      <c r="E5" s="1">
        <v>11</v>
      </c>
      <c r="F5" s="1">
        <v>2</v>
      </c>
      <c r="G5" s="24">
        <v>18.8</v>
      </c>
      <c r="H5" s="3">
        <f t="shared" si="0"/>
        <v>9</v>
      </c>
      <c r="I5" s="3">
        <f t="shared" si="1"/>
        <v>9</v>
      </c>
      <c r="K5" s="18" t="s">
        <v>26</v>
      </c>
      <c r="L5" s="11">
        <f ca="1">CountCellsByColor(B3:B18,K5)</f>
        <v>1</v>
      </c>
    </row>
    <row r="6" spans="1:13" ht="21" customHeight="1" x14ac:dyDescent="0.25">
      <c r="A6" s="7">
        <v>4</v>
      </c>
      <c r="B6" s="4" t="s">
        <v>116</v>
      </c>
      <c r="C6" s="21" t="s">
        <v>177</v>
      </c>
      <c r="D6" s="1">
        <v>34</v>
      </c>
      <c r="E6" s="1">
        <v>14</v>
      </c>
      <c r="F6" s="1">
        <v>60</v>
      </c>
      <c r="G6" s="24">
        <v>4.2</v>
      </c>
      <c r="H6" s="3">
        <f t="shared" si="0"/>
        <v>-46</v>
      </c>
      <c r="I6" s="3">
        <f t="shared" si="1"/>
        <v>-61</v>
      </c>
      <c r="K6" s="15" t="s">
        <v>28</v>
      </c>
      <c r="L6" s="11">
        <f ca="1">CountCellsByColor(B3:B18,K6)</f>
        <v>3</v>
      </c>
    </row>
    <row r="7" spans="1:13" ht="21" customHeight="1" x14ac:dyDescent="0.25">
      <c r="A7" s="7">
        <v>5</v>
      </c>
      <c r="B7" s="4" t="s">
        <v>117</v>
      </c>
      <c r="C7" s="21" t="s">
        <v>180</v>
      </c>
      <c r="D7" s="1">
        <v>47</v>
      </c>
      <c r="E7" s="1">
        <v>5</v>
      </c>
      <c r="F7" s="1">
        <v>21</v>
      </c>
      <c r="G7" s="24">
        <v>15.8</v>
      </c>
      <c r="H7" s="3">
        <f t="shared" si="0"/>
        <v>-16</v>
      </c>
      <c r="I7" s="3">
        <f t="shared" si="1"/>
        <v>-50</v>
      </c>
      <c r="K7" s="36"/>
      <c r="L7" s="36"/>
      <c r="M7" s="36"/>
    </row>
    <row r="8" spans="1:13" ht="21" customHeight="1" x14ac:dyDescent="0.25">
      <c r="A8" s="7">
        <v>6</v>
      </c>
      <c r="B8" s="5" t="s">
        <v>118</v>
      </c>
      <c r="C8" s="21" t="s">
        <v>179</v>
      </c>
      <c r="D8" s="1">
        <v>54</v>
      </c>
      <c r="E8" s="1">
        <v>22</v>
      </c>
      <c r="F8" s="1">
        <v>60</v>
      </c>
      <c r="G8" s="24">
        <v>6</v>
      </c>
      <c r="H8" s="2">
        <f t="shared" si="0"/>
        <v>-38</v>
      </c>
      <c r="I8" s="2">
        <f t="shared" si="1"/>
        <v>-38</v>
      </c>
      <c r="K8" s="37"/>
      <c r="L8" s="43"/>
      <c r="M8" s="43"/>
    </row>
    <row r="9" spans="1:13" ht="21" customHeight="1" x14ac:dyDescent="0.25">
      <c r="A9" s="7">
        <v>7</v>
      </c>
      <c r="B9" s="4" t="s">
        <v>119</v>
      </c>
      <c r="C9" s="21" t="s">
        <v>179</v>
      </c>
      <c r="D9" s="1">
        <v>67</v>
      </c>
      <c r="E9" s="1">
        <v>29</v>
      </c>
      <c r="F9" s="1">
        <v>38</v>
      </c>
      <c r="G9" s="24">
        <v>10.199999999999999</v>
      </c>
      <c r="H9" s="3">
        <f t="shared" si="0"/>
        <v>-9</v>
      </c>
      <c r="I9" s="3">
        <f t="shared" si="1"/>
        <v>-9</v>
      </c>
      <c r="K9" s="37"/>
      <c r="L9" s="43"/>
      <c r="M9" s="43"/>
    </row>
    <row r="10" spans="1:13" ht="21" customHeight="1" x14ac:dyDescent="0.25">
      <c r="A10" s="7">
        <v>8</v>
      </c>
      <c r="B10" s="12" t="s">
        <v>120</v>
      </c>
      <c r="C10" s="21" t="s">
        <v>177</v>
      </c>
      <c r="D10" s="1">
        <v>74</v>
      </c>
      <c r="E10" s="1">
        <v>27</v>
      </c>
      <c r="F10" s="1">
        <v>40</v>
      </c>
      <c r="G10" s="24">
        <v>6</v>
      </c>
      <c r="H10" s="3">
        <f t="shared" si="0"/>
        <v>-13</v>
      </c>
      <c r="I10" s="3">
        <f t="shared" si="1"/>
        <v>-17</v>
      </c>
      <c r="K10" s="37"/>
      <c r="L10" s="39"/>
      <c r="M10" s="28"/>
    </row>
    <row r="11" spans="1:13" ht="21" customHeight="1" x14ac:dyDescent="0.25">
      <c r="A11" s="7">
        <v>9</v>
      </c>
      <c r="B11" s="5" t="s">
        <v>191</v>
      </c>
      <c r="C11" s="21" t="s">
        <v>182</v>
      </c>
      <c r="D11" s="1">
        <v>87</v>
      </c>
      <c r="E11" s="1">
        <v>1</v>
      </c>
      <c r="F11" s="1">
        <v>17</v>
      </c>
      <c r="G11" s="24">
        <v>5.7</v>
      </c>
      <c r="H11" s="3">
        <f t="shared" si="0"/>
        <v>-16</v>
      </c>
      <c r="I11" s="3">
        <f t="shared" si="1"/>
        <v>-173</v>
      </c>
      <c r="K11" s="37"/>
      <c r="L11" s="31"/>
      <c r="M11" s="31"/>
    </row>
    <row r="12" spans="1:13" ht="21" customHeight="1" x14ac:dyDescent="0.25">
      <c r="A12" s="7">
        <v>10</v>
      </c>
      <c r="B12" s="12" t="s">
        <v>121</v>
      </c>
      <c r="C12" s="21" t="s">
        <v>177</v>
      </c>
      <c r="D12" s="1">
        <v>94</v>
      </c>
      <c r="E12" s="1">
        <v>35</v>
      </c>
      <c r="F12" s="1">
        <v>66</v>
      </c>
      <c r="G12" s="24">
        <v>3.2</v>
      </c>
      <c r="H12" s="3">
        <f t="shared" si="0"/>
        <v>-31</v>
      </c>
      <c r="I12" s="3">
        <f t="shared" si="1"/>
        <v>-41</v>
      </c>
      <c r="K12" s="37"/>
      <c r="L12" s="31"/>
      <c r="M12" s="31"/>
    </row>
    <row r="13" spans="1:13" ht="21" customHeight="1" x14ac:dyDescent="0.25">
      <c r="A13" s="7">
        <v>11</v>
      </c>
      <c r="B13" s="12" t="s">
        <v>122</v>
      </c>
      <c r="C13" s="21" t="s">
        <v>177</v>
      </c>
      <c r="D13" s="1">
        <v>107</v>
      </c>
      <c r="E13" s="1">
        <v>40</v>
      </c>
      <c r="F13" s="1">
        <v>70</v>
      </c>
      <c r="G13" s="24">
        <v>2.4</v>
      </c>
      <c r="H13" s="3">
        <f t="shared" si="0"/>
        <v>-30</v>
      </c>
      <c r="I13" s="3">
        <f t="shared" si="1"/>
        <v>-40</v>
      </c>
      <c r="K13" s="37"/>
      <c r="L13" s="31"/>
      <c r="M13" s="31"/>
    </row>
    <row r="14" spans="1:13" ht="21" customHeight="1" x14ac:dyDescent="0.25">
      <c r="A14" s="7">
        <v>12</v>
      </c>
      <c r="B14" s="5" t="s">
        <v>123</v>
      </c>
      <c r="C14" s="21" t="s">
        <v>178</v>
      </c>
      <c r="D14" s="1">
        <v>114</v>
      </c>
      <c r="E14" s="1">
        <v>10</v>
      </c>
      <c r="F14" s="1">
        <v>4</v>
      </c>
      <c r="G14" s="24">
        <v>11.4</v>
      </c>
      <c r="H14" s="3">
        <f t="shared" si="0"/>
        <v>6</v>
      </c>
      <c r="I14" s="3">
        <f t="shared" si="1"/>
        <v>21</v>
      </c>
      <c r="K14" s="37"/>
      <c r="L14" s="31"/>
      <c r="M14" s="31"/>
    </row>
    <row r="15" spans="1:13" ht="21" customHeight="1" x14ac:dyDescent="0.25">
      <c r="A15" s="7">
        <v>13</v>
      </c>
      <c r="B15" s="12" t="s">
        <v>124</v>
      </c>
      <c r="C15" s="21" t="s">
        <v>181</v>
      </c>
      <c r="D15" s="1">
        <v>127</v>
      </c>
      <c r="E15" s="1">
        <v>7</v>
      </c>
      <c r="F15" s="1">
        <v>17</v>
      </c>
      <c r="G15" s="24">
        <v>7.4</v>
      </c>
      <c r="H15" s="2">
        <f t="shared" si="0"/>
        <v>-10</v>
      </c>
      <c r="I15" s="2">
        <f t="shared" si="1"/>
        <v>-87</v>
      </c>
      <c r="K15" s="37"/>
      <c r="L15" s="31"/>
      <c r="M15" s="31"/>
    </row>
    <row r="16" spans="1:13" ht="21" customHeight="1" x14ac:dyDescent="0.25">
      <c r="A16" s="7">
        <v>14</v>
      </c>
      <c r="B16" s="4" t="s">
        <v>125</v>
      </c>
      <c r="C16" s="21" t="s">
        <v>180</v>
      </c>
      <c r="D16" s="1">
        <v>134</v>
      </c>
      <c r="E16" s="1">
        <v>11</v>
      </c>
      <c r="F16" s="1">
        <v>8</v>
      </c>
      <c r="G16" s="24">
        <v>19.100000000000001</v>
      </c>
      <c r="H16" s="3">
        <f t="shared" si="0"/>
        <v>3</v>
      </c>
      <c r="I16" s="3">
        <f t="shared" si="1"/>
        <v>9</v>
      </c>
      <c r="K16" s="37"/>
      <c r="L16" s="44"/>
      <c r="M16" s="44"/>
    </row>
    <row r="17" spans="1:13" ht="21" customHeight="1" x14ac:dyDescent="0.25">
      <c r="A17" s="7">
        <v>15</v>
      </c>
      <c r="B17" s="12" t="s">
        <v>126</v>
      </c>
      <c r="C17" s="21" t="s">
        <v>178</v>
      </c>
      <c r="D17" s="1">
        <v>147</v>
      </c>
      <c r="E17" s="1">
        <v>12</v>
      </c>
      <c r="F17" s="1">
        <v>7</v>
      </c>
      <c r="G17" s="24">
        <v>8.4</v>
      </c>
      <c r="H17" s="3">
        <f t="shared" si="0"/>
        <v>5</v>
      </c>
      <c r="I17" s="3">
        <f t="shared" si="1"/>
        <v>17</v>
      </c>
      <c r="K17" s="37"/>
      <c r="L17" s="44"/>
      <c r="M17" s="44"/>
    </row>
    <row r="18" spans="1:13" ht="21" customHeight="1" x14ac:dyDescent="0.25">
      <c r="A18" s="7">
        <v>16</v>
      </c>
      <c r="B18" s="14" t="s">
        <v>127</v>
      </c>
      <c r="C18" s="23" t="s">
        <v>179</v>
      </c>
      <c r="D18" s="1">
        <v>154</v>
      </c>
      <c r="E18" s="1">
        <v>59</v>
      </c>
      <c r="F18" s="13">
        <v>172</v>
      </c>
      <c r="G18" s="25">
        <v>0</v>
      </c>
      <c r="H18" s="19">
        <f>E18-F18</f>
        <v>-113</v>
      </c>
      <c r="I18" s="19">
        <f t="shared" si="1"/>
        <v>-113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4"/>
      <c r="M20" s="44"/>
    </row>
    <row r="21" spans="1:13" ht="21" customHeight="1" x14ac:dyDescent="0.25">
      <c r="B21" s="35" t="s">
        <v>21</v>
      </c>
      <c r="C21" s="56">
        <f>SUM(H3:H18)</f>
        <v>-368</v>
      </c>
      <c r="D21" s="56"/>
      <c r="E21" s="56">
        <f>SUM(I3:I18)</f>
        <v>-665</v>
      </c>
      <c r="F21" s="56"/>
      <c r="K21" s="37"/>
      <c r="L21" s="44"/>
      <c r="M21" s="44"/>
    </row>
    <row r="22" spans="1:13" ht="21" customHeight="1" x14ac:dyDescent="0.25">
      <c r="B22" s="35" t="s">
        <v>22</v>
      </c>
      <c r="C22" s="56">
        <f>C21/16</f>
        <v>-23</v>
      </c>
      <c r="D22" s="56"/>
      <c r="E22" s="56">
        <f>E21/16</f>
        <v>-41.5625</v>
      </c>
      <c r="F22" s="56"/>
    </row>
    <row r="23" spans="1:13" ht="21" customHeight="1" x14ac:dyDescent="0.25">
      <c r="B23" s="35" t="s">
        <v>196</v>
      </c>
      <c r="C23" s="57">
        <f>AVERAGE(G3:G18)</f>
        <v>8.5125000000000028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Jared Goff at 19.1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Mike Wallace at 0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Tyreek Hill at a 9 differential.</v>
      </c>
      <c r="D26" s="53"/>
      <c r="E26" s="53" t="str">
        <f>INDEX(B3:B18,MATCH(MAX(I3:I18),I3:I18,0),1) &amp; " at a " &amp; MAX(I3:I18) &amp; " differential."</f>
        <v>George Kittle at a 21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Mike Wallace at a -113 differential.</v>
      </c>
      <c r="D27" s="53"/>
      <c r="E27" s="53" t="str">
        <f>INDEX(B3:B18,MATCH(MIN(I3:I18),I3:I18,0),1) &amp; " at a " &amp; MIN(I3:I18) &amp; " differential."</f>
        <v>Jax D/ST at a -173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Leonard Fournette at a -70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Jax D/ST at a -173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Matt Ryan</v>
      </c>
      <c r="D29" s="53"/>
      <c r="E29" s="54" t="str">
        <f ca="1">GetBetterDraftPick(MinMinusCellColorOfRelatedRow(B3:B18, I3:I18, K5), INDEX(D3:D18,MATCH(MinMinusCellColorOfRelatedRow(B3:B18, I3:I18, K5),I3:I18,0),1),A1)</f>
        <v>Matt Ryan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Melvin Gordon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LAR D/ST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-128</v>
      </c>
      <c r="D31" s="52"/>
      <c r="E31" s="52">
        <f ca="1">SumCellsInRowByColor(B3:B18, I3:I18, K3)</f>
        <v>-194</v>
      </c>
      <c r="F31" s="52"/>
    </row>
    <row r="32" spans="1:13" ht="21" customHeight="1" x14ac:dyDescent="0.25">
      <c r="B32" s="35" t="s">
        <v>80</v>
      </c>
      <c r="C32" s="52">
        <f ca="1">C31/L3</f>
        <v>-18.285714285714285</v>
      </c>
      <c r="D32" s="52"/>
      <c r="E32" s="52">
        <f ca="1">E31/L3</f>
        <v>-27.714285714285715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-79</v>
      </c>
      <c r="D33" s="52"/>
      <c r="E33" s="52">
        <f ca="1">SumCellsInRowByColor(B3:B18, I3:I18, K4)</f>
        <v>-168</v>
      </c>
      <c r="F33" s="52"/>
    </row>
    <row r="34" spans="2:6" ht="21" customHeight="1" x14ac:dyDescent="0.25">
      <c r="B34" s="35" t="s">
        <v>78</v>
      </c>
      <c r="C34" s="52">
        <f ca="1">C33/L4</f>
        <v>-15.8</v>
      </c>
      <c r="D34" s="52"/>
      <c r="E34" s="52">
        <f ca="1">E33/L4</f>
        <v>-33.6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-48</v>
      </c>
      <c r="D35" s="52"/>
      <c r="E35" s="52">
        <f ca="1">SumCellsInRowByColor(B3:B18, I3:I18, K6)</f>
        <v>-190</v>
      </c>
      <c r="F35" s="52"/>
    </row>
    <row r="36" spans="2:6" ht="21" customHeight="1" x14ac:dyDescent="0.25">
      <c r="B36" s="35" t="s">
        <v>81</v>
      </c>
      <c r="C36" s="52">
        <f ca="1">IF(L6 &lt;&gt; 0, C35/L6, 0)</f>
        <v>-16</v>
      </c>
      <c r="D36" s="52"/>
      <c r="E36" s="52">
        <f ca="1">IF(L6 &lt;&gt; 0, E35/L6, 0)</f>
        <v>-63.333333333333336</v>
      </c>
      <c r="F36" s="52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11" priority="1" operator="equal">
      <formula>0</formula>
    </cfRule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"/>
  <sheetViews>
    <sheetView zoomScale="70" zoomScaleNormal="70" workbookViewId="0">
      <selection activeCell="L7" sqref="L7"/>
    </sheetView>
  </sheetViews>
  <sheetFormatPr defaultRowHeight="15" x14ac:dyDescent="0.25"/>
  <cols>
    <col min="1" max="1" width="10.7109375" customWidth="1"/>
    <col min="2" max="2" width="34.28515625" bestFit="1" customWidth="1"/>
    <col min="3" max="3" width="11" bestFit="1" customWidth="1"/>
    <col min="4" max="4" width="13.7109375" customWidth="1"/>
    <col min="5" max="5" width="14.85546875" customWidth="1"/>
    <col min="6" max="7" width="14.5703125" customWidth="1"/>
    <col min="8" max="9" width="14.28515625" bestFit="1" customWidth="1"/>
    <col min="11" max="11" width="32.28515625" bestFit="1" customWidth="1"/>
    <col min="12" max="12" width="35.7109375" bestFit="1" customWidth="1"/>
    <col min="13" max="13" width="35.28515625" customWidth="1"/>
  </cols>
  <sheetData>
    <row r="1" spans="1:13" s="42" customFormat="1" ht="22.5" customHeight="1" x14ac:dyDescent="0.25">
      <c r="A1" s="59" t="s">
        <v>206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128</v>
      </c>
      <c r="C3" s="21" t="s">
        <v>179</v>
      </c>
      <c r="D3" s="1">
        <v>8</v>
      </c>
      <c r="E3" s="1">
        <v>1</v>
      </c>
      <c r="F3" s="1">
        <v>10</v>
      </c>
      <c r="G3" s="24">
        <v>17</v>
      </c>
      <c r="H3" s="2">
        <f>E3-F3</f>
        <v>-9</v>
      </c>
      <c r="I3" s="2">
        <f>ROUND(IF(C3="WR", H3, IF(C3="RB", H3*1.326, IF(C3="QB", H3*3.145, IF(C3="TE", H3*3.495, IF(C3="K", H3*8.65, IF(C3="D/ST", H3*10.813, "ERROR")))))),0)</f>
        <v>-9</v>
      </c>
      <c r="K3" s="16" t="s">
        <v>25</v>
      </c>
      <c r="L3" s="11">
        <f ca="1">CountCellsByColor(B3:B18,K3)</f>
        <v>10</v>
      </c>
    </row>
    <row r="4" spans="1:13" ht="21" customHeight="1" x14ac:dyDescent="0.25">
      <c r="A4" s="7">
        <v>2</v>
      </c>
      <c r="B4" s="4" t="s">
        <v>129</v>
      </c>
      <c r="C4" s="21" t="s">
        <v>177</v>
      </c>
      <c r="D4" s="1">
        <v>13</v>
      </c>
      <c r="E4" s="1">
        <v>10</v>
      </c>
      <c r="F4" s="1">
        <v>62</v>
      </c>
      <c r="G4" s="24">
        <v>3.1</v>
      </c>
      <c r="H4" s="3">
        <f t="shared" ref="H4:H17" si="0">E4-F4</f>
        <v>-52</v>
      </c>
      <c r="I4" s="3">
        <f t="shared" ref="I4:I18" si="1">ROUND(IF(C4="WR", H4, IF(C4="RB", H4*1.326, IF(C4="QB", H4*3.145, IF(C4="TE", H4*3.495, IF(C4="K", H4*8.65, IF(C4="D/ST", H4*10.813, "ERROR")))))),0)</f>
        <v>-69</v>
      </c>
      <c r="K4" s="17" t="s">
        <v>27</v>
      </c>
      <c r="L4" s="11">
        <f ca="1">CountCellsByColor(B3:B18,K4)</f>
        <v>4</v>
      </c>
    </row>
    <row r="5" spans="1:13" ht="21" customHeight="1" x14ac:dyDescent="0.25">
      <c r="A5" s="7">
        <v>3</v>
      </c>
      <c r="B5" s="6" t="s">
        <v>130</v>
      </c>
      <c r="C5" s="21" t="s">
        <v>177</v>
      </c>
      <c r="D5" s="1">
        <v>28</v>
      </c>
      <c r="E5" s="1">
        <v>11</v>
      </c>
      <c r="F5" s="1">
        <v>118</v>
      </c>
      <c r="G5" s="24">
        <v>0</v>
      </c>
      <c r="H5" s="3">
        <f t="shared" si="0"/>
        <v>-107</v>
      </c>
      <c r="I5" s="3">
        <f t="shared" si="1"/>
        <v>-142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4" t="s">
        <v>131</v>
      </c>
      <c r="C6" s="21" t="s">
        <v>179</v>
      </c>
      <c r="D6" s="1">
        <v>33</v>
      </c>
      <c r="E6" s="1">
        <v>14</v>
      </c>
      <c r="F6" s="1">
        <v>31</v>
      </c>
      <c r="G6" s="24">
        <v>9.5</v>
      </c>
      <c r="H6" s="3">
        <f t="shared" si="0"/>
        <v>-17</v>
      </c>
      <c r="I6" s="3">
        <f t="shared" si="1"/>
        <v>-17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132</v>
      </c>
      <c r="C7" s="21" t="s">
        <v>177</v>
      </c>
      <c r="D7" s="1">
        <v>48</v>
      </c>
      <c r="E7" s="1">
        <v>20</v>
      </c>
      <c r="F7" s="1">
        <v>24</v>
      </c>
      <c r="G7" s="24">
        <v>9.3000000000000007</v>
      </c>
      <c r="H7" s="3">
        <f t="shared" si="0"/>
        <v>-4</v>
      </c>
      <c r="I7" s="3">
        <f t="shared" si="1"/>
        <v>-5</v>
      </c>
      <c r="K7" s="36"/>
      <c r="L7" s="36"/>
      <c r="M7" s="36"/>
    </row>
    <row r="8" spans="1:13" ht="21" customHeight="1" x14ac:dyDescent="0.25">
      <c r="A8" s="7">
        <v>6</v>
      </c>
      <c r="B8" s="4" t="s">
        <v>133</v>
      </c>
      <c r="C8" s="21" t="s">
        <v>180</v>
      </c>
      <c r="D8" s="1">
        <v>53</v>
      </c>
      <c r="E8" s="1">
        <v>8</v>
      </c>
      <c r="F8" s="1">
        <v>6</v>
      </c>
      <c r="G8" s="24">
        <v>22.9</v>
      </c>
      <c r="H8" s="2">
        <f t="shared" si="0"/>
        <v>2</v>
      </c>
      <c r="I8" s="2">
        <f t="shared" si="1"/>
        <v>6</v>
      </c>
      <c r="K8" s="37"/>
      <c r="L8" s="43"/>
      <c r="M8" s="43"/>
    </row>
    <row r="9" spans="1:13" ht="21" customHeight="1" x14ac:dyDescent="0.25">
      <c r="A9" s="7">
        <v>7</v>
      </c>
      <c r="B9" s="12" t="s">
        <v>134</v>
      </c>
      <c r="C9" s="21" t="s">
        <v>178</v>
      </c>
      <c r="D9" s="1">
        <v>68</v>
      </c>
      <c r="E9" s="1">
        <v>6</v>
      </c>
      <c r="F9" s="1">
        <v>31</v>
      </c>
      <c r="G9" s="24">
        <v>3.1</v>
      </c>
      <c r="H9" s="3">
        <f t="shared" si="0"/>
        <v>-25</v>
      </c>
      <c r="I9" s="3">
        <f t="shared" si="1"/>
        <v>-87</v>
      </c>
      <c r="K9" s="37"/>
      <c r="L9" s="43"/>
      <c r="M9" s="43"/>
    </row>
    <row r="10" spans="1:13" ht="21" customHeight="1" x14ac:dyDescent="0.25">
      <c r="A10" s="7">
        <v>8</v>
      </c>
      <c r="B10" s="4" t="s">
        <v>135</v>
      </c>
      <c r="C10" s="21" t="s">
        <v>179</v>
      </c>
      <c r="D10" s="1">
        <v>73</v>
      </c>
      <c r="E10" s="1">
        <v>31</v>
      </c>
      <c r="F10" s="1">
        <v>43</v>
      </c>
      <c r="G10" s="24">
        <v>8.3000000000000007</v>
      </c>
      <c r="H10" s="3">
        <f t="shared" si="0"/>
        <v>-12</v>
      </c>
      <c r="I10" s="3">
        <f t="shared" si="1"/>
        <v>-12</v>
      </c>
      <c r="K10" s="37"/>
      <c r="L10" s="39"/>
      <c r="M10" s="28"/>
    </row>
    <row r="11" spans="1:13" ht="21" customHeight="1" x14ac:dyDescent="0.25">
      <c r="A11" s="7">
        <v>9</v>
      </c>
      <c r="B11" s="4" t="s">
        <v>136</v>
      </c>
      <c r="C11" s="21" t="s">
        <v>179</v>
      </c>
      <c r="D11" s="1">
        <v>88</v>
      </c>
      <c r="E11" s="1">
        <v>39</v>
      </c>
      <c r="F11" s="1">
        <v>44</v>
      </c>
      <c r="G11" s="24">
        <v>8</v>
      </c>
      <c r="H11" s="3">
        <f t="shared" si="0"/>
        <v>-5</v>
      </c>
      <c r="I11" s="3">
        <f t="shared" si="1"/>
        <v>-5</v>
      </c>
      <c r="K11" s="37"/>
      <c r="L11" s="31"/>
      <c r="M11" s="31"/>
    </row>
    <row r="12" spans="1:13" ht="21" customHeight="1" x14ac:dyDescent="0.25">
      <c r="A12" s="7">
        <v>10</v>
      </c>
      <c r="B12" s="4" t="s">
        <v>137</v>
      </c>
      <c r="C12" s="21" t="s">
        <v>177</v>
      </c>
      <c r="D12" s="1">
        <v>93</v>
      </c>
      <c r="E12" s="1">
        <v>34</v>
      </c>
      <c r="F12" s="1">
        <v>26</v>
      </c>
      <c r="G12" s="24">
        <v>10.4</v>
      </c>
      <c r="H12" s="3">
        <f t="shared" si="0"/>
        <v>8</v>
      </c>
      <c r="I12" s="3">
        <f t="shared" si="1"/>
        <v>11</v>
      </c>
      <c r="K12" s="37"/>
      <c r="L12" s="31"/>
      <c r="M12" s="31"/>
    </row>
    <row r="13" spans="1:13" ht="21" customHeight="1" x14ac:dyDescent="0.25">
      <c r="A13" s="7">
        <v>11</v>
      </c>
      <c r="B13" s="12" t="s">
        <v>138</v>
      </c>
      <c r="C13" s="21" t="s">
        <v>177</v>
      </c>
      <c r="D13" s="1">
        <v>108</v>
      </c>
      <c r="E13" s="1">
        <v>41</v>
      </c>
      <c r="F13" s="1">
        <v>57</v>
      </c>
      <c r="G13" s="24">
        <v>4.7</v>
      </c>
      <c r="H13" s="3">
        <f t="shared" si="0"/>
        <v>-16</v>
      </c>
      <c r="I13" s="3">
        <f t="shared" si="1"/>
        <v>-21</v>
      </c>
      <c r="K13" s="37"/>
      <c r="L13" s="31"/>
      <c r="M13" s="31"/>
    </row>
    <row r="14" spans="1:13" ht="21" customHeight="1" x14ac:dyDescent="0.25">
      <c r="A14" s="7">
        <v>12</v>
      </c>
      <c r="B14" s="4" t="s">
        <v>139</v>
      </c>
      <c r="C14" s="21" t="s">
        <v>179</v>
      </c>
      <c r="D14" s="1">
        <v>113</v>
      </c>
      <c r="E14" s="1">
        <v>46</v>
      </c>
      <c r="F14" s="1">
        <v>23</v>
      </c>
      <c r="G14" s="24">
        <v>11.3</v>
      </c>
      <c r="H14" s="3">
        <f t="shared" si="0"/>
        <v>23</v>
      </c>
      <c r="I14" s="3">
        <f t="shared" si="1"/>
        <v>23</v>
      </c>
      <c r="K14" s="37"/>
      <c r="L14" s="31"/>
      <c r="M14" s="31"/>
    </row>
    <row r="15" spans="1:13" ht="21" customHeight="1" x14ac:dyDescent="0.25">
      <c r="A15" s="7">
        <v>13</v>
      </c>
      <c r="B15" s="12" t="s">
        <v>140</v>
      </c>
      <c r="C15" s="21" t="s">
        <v>182</v>
      </c>
      <c r="D15" s="1">
        <v>128</v>
      </c>
      <c r="E15" s="1">
        <v>5</v>
      </c>
      <c r="F15" s="1">
        <v>21</v>
      </c>
      <c r="G15" s="24">
        <v>4.7</v>
      </c>
      <c r="H15" s="2">
        <f t="shared" si="0"/>
        <v>-16</v>
      </c>
      <c r="I15" s="2">
        <f t="shared" si="1"/>
        <v>-173</v>
      </c>
      <c r="K15" s="37"/>
      <c r="L15" s="31"/>
      <c r="M15" s="31"/>
    </row>
    <row r="16" spans="1:13" ht="21" customHeight="1" x14ac:dyDescent="0.25">
      <c r="A16" s="7">
        <v>14</v>
      </c>
      <c r="B16" s="6" t="s">
        <v>142</v>
      </c>
      <c r="C16" s="21" t="s">
        <v>177</v>
      </c>
      <c r="D16" s="1">
        <v>133</v>
      </c>
      <c r="E16" s="1">
        <v>48</v>
      </c>
      <c r="F16" s="1">
        <v>33</v>
      </c>
      <c r="G16" s="24">
        <v>7.1</v>
      </c>
      <c r="H16" s="3">
        <f t="shared" si="0"/>
        <v>15</v>
      </c>
      <c r="I16" s="3">
        <f t="shared" si="1"/>
        <v>20</v>
      </c>
      <c r="K16" s="37"/>
      <c r="L16" s="44"/>
      <c r="M16" s="44"/>
    </row>
    <row r="17" spans="1:13" ht="21" customHeight="1" x14ac:dyDescent="0.25">
      <c r="A17" s="7">
        <v>15</v>
      </c>
      <c r="B17" s="4" t="s">
        <v>143</v>
      </c>
      <c r="C17" s="21" t="s">
        <v>179</v>
      </c>
      <c r="D17" s="1">
        <v>148</v>
      </c>
      <c r="E17" s="1">
        <v>57</v>
      </c>
      <c r="F17" s="1">
        <v>19</v>
      </c>
      <c r="G17" s="24">
        <v>14.1</v>
      </c>
      <c r="H17" s="3">
        <f t="shared" si="0"/>
        <v>38</v>
      </c>
      <c r="I17" s="3">
        <f t="shared" si="1"/>
        <v>38</v>
      </c>
      <c r="K17" s="37"/>
      <c r="L17" s="44"/>
      <c r="M17" s="44"/>
    </row>
    <row r="18" spans="1:13" ht="21" customHeight="1" x14ac:dyDescent="0.25">
      <c r="A18" s="7">
        <v>16</v>
      </c>
      <c r="B18" s="12" t="s">
        <v>144</v>
      </c>
      <c r="C18" s="21" t="s">
        <v>181</v>
      </c>
      <c r="D18" s="1">
        <v>153</v>
      </c>
      <c r="E18" s="1">
        <v>9</v>
      </c>
      <c r="F18" s="13">
        <v>30</v>
      </c>
      <c r="G18" s="25">
        <v>4.7</v>
      </c>
      <c r="H18" s="19">
        <f>E18-F18</f>
        <v>-21</v>
      </c>
      <c r="I18" s="19">
        <f t="shared" si="1"/>
        <v>-182</v>
      </c>
      <c r="K18" s="37"/>
      <c r="L18" s="44"/>
      <c r="M18" s="44"/>
    </row>
    <row r="19" spans="1:13" ht="21" customHeight="1" x14ac:dyDescent="0.25">
      <c r="K19" s="37"/>
      <c r="L19" s="44"/>
      <c r="M19" s="44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4"/>
      <c r="M20" s="44"/>
    </row>
    <row r="21" spans="1:13" ht="21" customHeight="1" x14ac:dyDescent="0.25">
      <c r="B21" s="35" t="s">
        <v>21</v>
      </c>
      <c r="C21" s="56">
        <f>SUM(H3:H18)</f>
        <v>-198</v>
      </c>
      <c r="D21" s="56"/>
      <c r="E21" s="56">
        <f>SUM(I3:I18)</f>
        <v>-624</v>
      </c>
      <c r="F21" s="56"/>
      <c r="K21" s="37"/>
      <c r="L21" s="44"/>
      <c r="M21" s="44"/>
    </row>
    <row r="22" spans="1:13" ht="21" customHeight="1" x14ac:dyDescent="0.25">
      <c r="B22" s="35" t="s">
        <v>22</v>
      </c>
      <c r="C22" s="56">
        <f>C21/16</f>
        <v>-12.375</v>
      </c>
      <c r="D22" s="56"/>
      <c r="E22" s="56">
        <f>E21/16</f>
        <v>-39</v>
      </c>
      <c r="F22" s="56"/>
    </row>
    <row r="23" spans="1:13" ht="21" customHeight="1" x14ac:dyDescent="0.25">
      <c r="B23" s="35" t="s">
        <v>196</v>
      </c>
      <c r="C23" s="57">
        <f>AVERAGE(G3:G18)</f>
        <v>8.6374999999999993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Drew Brees at 22.9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Jerick McKinnon at 0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DeShean Jackson at a 38 differential.</v>
      </c>
      <c r="D26" s="53"/>
      <c r="E26" s="53" t="str">
        <f>INDEX(B3:B18,MATCH(MAX(I3:I18),I3:I18,0),1) &amp; " at a " &amp; MAX(I3:I18) &amp; " differential."</f>
        <v>DeShean Jackson at a 38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Jerick McKinnon at a -107 differential.</v>
      </c>
      <c r="D27" s="53"/>
      <c r="E27" s="53" t="str">
        <f>INDEX(B3:B18,MATCH(MIN(I3:I18),I3:I18,0),1) &amp; " at a " &amp; MIN(I3:I18) &amp; " differential."</f>
        <v>Chris Boswell at a -182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Dalvin Cook at a -52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Chris Boswell at a -182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Matt Ryan</v>
      </c>
      <c r="D29" s="53"/>
      <c r="E29" s="54" t="str">
        <f ca="1">GetBetterDraftPick(MinMinusCellColorOfRelatedRow(B3:B18, I3:I18, K5), INDEX(D3:D18,MATCH(MinMinusCellColorOfRelatedRow(B3:B18, I3:I18, K5),I3:I18,0),1),A1)</f>
        <v>Dak Prescott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James White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/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-28</v>
      </c>
      <c r="D31" s="52"/>
      <c r="E31" s="52">
        <f ca="1">SumCellsInRowByColor(B3:B18, I3:I18, K3)</f>
        <v>-39</v>
      </c>
      <c r="F31" s="52"/>
    </row>
    <row r="32" spans="1:13" ht="21" customHeight="1" x14ac:dyDescent="0.25">
      <c r="B32" s="35" t="s">
        <v>80</v>
      </c>
      <c r="C32" s="52">
        <f ca="1">C31/L3</f>
        <v>-2.8</v>
      </c>
      <c r="D32" s="52"/>
      <c r="E32" s="52">
        <f ca="1">E31/L3</f>
        <v>-3.9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-78</v>
      </c>
      <c r="D33" s="52"/>
      <c r="E33" s="52">
        <f ca="1">SumCellsInRowByColor(B3:B18, I3:I18, K4)</f>
        <v>-463</v>
      </c>
      <c r="F33" s="52"/>
    </row>
    <row r="34" spans="2:6" ht="21" customHeight="1" x14ac:dyDescent="0.25">
      <c r="B34" s="35" t="s">
        <v>78</v>
      </c>
      <c r="C34" s="52">
        <f ca="1">C33/L4</f>
        <v>-19.5</v>
      </c>
      <c r="D34" s="52"/>
      <c r="E34" s="52">
        <f ca="1">E33/L4</f>
        <v>-115.75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6"/>
  <sheetViews>
    <sheetView zoomScale="55" zoomScaleNormal="55" workbookViewId="0">
      <selection activeCell="J27" sqref="J27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2" width="36.140625" bestFit="1" customWidth="1"/>
    <col min="13" max="13" width="31.5703125" bestFit="1" customWidth="1"/>
  </cols>
  <sheetData>
    <row r="1" spans="1:13" s="42" customFormat="1" ht="22.5" customHeight="1" x14ac:dyDescent="0.25">
      <c r="A1" s="59" t="s">
        <v>207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145</v>
      </c>
      <c r="C3" s="21" t="s">
        <v>179</v>
      </c>
      <c r="D3" s="1">
        <v>9</v>
      </c>
      <c r="E3" s="1">
        <v>2</v>
      </c>
      <c r="F3" s="1">
        <v>8</v>
      </c>
      <c r="G3" s="24">
        <v>14.8</v>
      </c>
      <c r="H3" s="2">
        <f>E3-F3</f>
        <v>-6</v>
      </c>
      <c r="I3" s="2">
        <f>ROUND(IF(C3="WR", H3, IF(C3="RB", H3*1.326, IF(C3="QB", H3*3.145, IF(C3="TE", H3*3.495, IF(C3="K", H3*8.65, IF(C3="D/ST", H3*10.813, "ERROR")))))),0)</f>
        <v>-6</v>
      </c>
      <c r="K3" s="16" t="s">
        <v>25</v>
      </c>
      <c r="L3" s="11">
        <f ca="1">CountCellsByColor(B3:B18,K3)</f>
        <v>13</v>
      </c>
    </row>
    <row r="4" spans="1:13" ht="21" customHeight="1" x14ac:dyDescent="0.25">
      <c r="A4" s="7">
        <v>2</v>
      </c>
      <c r="B4" s="4" t="s">
        <v>146</v>
      </c>
      <c r="C4" s="21" t="s">
        <v>177</v>
      </c>
      <c r="D4" s="1">
        <v>12</v>
      </c>
      <c r="E4" s="1">
        <v>9</v>
      </c>
      <c r="F4" s="1">
        <v>3</v>
      </c>
      <c r="G4" s="24">
        <v>20.3</v>
      </c>
      <c r="H4" s="3">
        <f t="shared" ref="H4:H17" si="0">E4-F4</f>
        <v>6</v>
      </c>
      <c r="I4" s="3">
        <f t="shared" ref="I4:I18" si="1">ROUND(IF(C4="WR", H4, IF(C4="RB", H4*1.326, IF(C4="QB", H4*3.145, IF(C4="TE", H4*3.495, IF(C4="K", H4*8.65, IF(C4="D/ST", H4*10.813, "ERROR")))))),0)</f>
        <v>8</v>
      </c>
      <c r="K4" s="17" t="s">
        <v>27</v>
      </c>
      <c r="L4" s="11">
        <f ca="1">CountCellsByColor(B3:B18,K4)</f>
        <v>3</v>
      </c>
    </row>
    <row r="5" spans="1:13" ht="21" customHeight="1" x14ac:dyDescent="0.25">
      <c r="A5" s="7">
        <v>3</v>
      </c>
      <c r="B5" s="4" t="s">
        <v>147</v>
      </c>
      <c r="C5" s="21" t="s">
        <v>179</v>
      </c>
      <c r="D5" s="1">
        <v>29</v>
      </c>
      <c r="E5" s="1">
        <v>12</v>
      </c>
      <c r="F5" s="1">
        <v>1</v>
      </c>
      <c r="G5" s="24">
        <v>20.5</v>
      </c>
      <c r="H5" s="3">
        <f t="shared" si="0"/>
        <v>11</v>
      </c>
      <c r="I5" s="3">
        <f t="shared" si="1"/>
        <v>11</v>
      </c>
      <c r="K5" s="18" t="s">
        <v>26</v>
      </c>
      <c r="L5" s="11">
        <f ca="1">CountCellsByColor(B3:B18,K5)</f>
        <v>0</v>
      </c>
    </row>
    <row r="6" spans="1:13" ht="21" customHeight="1" x14ac:dyDescent="0.25">
      <c r="A6" s="7">
        <v>4</v>
      </c>
      <c r="B6" s="4" t="s">
        <v>148</v>
      </c>
      <c r="C6" s="21" t="s">
        <v>177</v>
      </c>
      <c r="D6" s="1">
        <v>32</v>
      </c>
      <c r="E6" s="1">
        <v>13</v>
      </c>
      <c r="F6" s="1">
        <v>17</v>
      </c>
      <c r="G6" s="24">
        <v>10.3</v>
      </c>
      <c r="H6" s="3">
        <f t="shared" si="0"/>
        <v>-4</v>
      </c>
      <c r="I6" s="3">
        <f t="shared" si="1"/>
        <v>-5</v>
      </c>
      <c r="K6" s="15" t="s">
        <v>28</v>
      </c>
      <c r="L6" s="11">
        <f ca="1">CountCellsByColor(B3:B18,K6)</f>
        <v>0</v>
      </c>
    </row>
    <row r="7" spans="1:13" ht="21" customHeight="1" x14ac:dyDescent="0.25">
      <c r="A7" s="7">
        <v>5</v>
      </c>
      <c r="B7" s="4" t="s">
        <v>149</v>
      </c>
      <c r="C7" s="21" t="s">
        <v>180</v>
      </c>
      <c r="D7" s="1">
        <v>49</v>
      </c>
      <c r="E7" s="1">
        <v>6</v>
      </c>
      <c r="F7" s="1">
        <v>12</v>
      </c>
      <c r="G7" s="24">
        <v>20.9</v>
      </c>
      <c r="H7" s="3">
        <f t="shared" si="0"/>
        <v>-6</v>
      </c>
      <c r="I7" s="3">
        <f t="shared" si="1"/>
        <v>-19</v>
      </c>
      <c r="K7" s="36"/>
      <c r="L7" s="36"/>
      <c r="M7" s="36"/>
    </row>
    <row r="8" spans="1:13" ht="21" customHeight="1" x14ac:dyDescent="0.25">
      <c r="A8" s="7">
        <v>6</v>
      </c>
      <c r="B8" s="4" t="s">
        <v>150</v>
      </c>
      <c r="C8" s="21" t="s">
        <v>178</v>
      </c>
      <c r="D8" s="1">
        <v>52</v>
      </c>
      <c r="E8" s="1">
        <v>4</v>
      </c>
      <c r="F8" s="1">
        <v>37</v>
      </c>
      <c r="G8" s="24">
        <v>2.8</v>
      </c>
      <c r="H8" s="2">
        <f t="shared" si="0"/>
        <v>-33</v>
      </c>
      <c r="I8" s="2">
        <f t="shared" si="1"/>
        <v>-115</v>
      </c>
      <c r="K8" s="37"/>
      <c r="L8" s="38"/>
      <c r="M8" s="38"/>
    </row>
    <row r="9" spans="1:13" ht="21" customHeight="1" x14ac:dyDescent="0.25">
      <c r="A9" s="7">
        <v>7</v>
      </c>
      <c r="B9" s="4" t="s">
        <v>151</v>
      </c>
      <c r="C9" s="21" t="s">
        <v>180</v>
      </c>
      <c r="D9" s="1">
        <v>69</v>
      </c>
      <c r="E9" s="1">
        <v>9</v>
      </c>
      <c r="F9" s="1">
        <v>5</v>
      </c>
      <c r="G9" s="24">
        <v>19.8</v>
      </c>
      <c r="H9" s="3">
        <f t="shared" si="0"/>
        <v>4</v>
      </c>
      <c r="I9" s="3">
        <f t="shared" si="1"/>
        <v>13</v>
      </c>
      <c r="K9" s="37"/>
      <c r="L9" s="38"/>
      <c r="M9" s="38"/>
    </row>
    <row r="10" spans="1:13" ht="21" customHeight="1" x14ac:dyDescent="0.25">
      <c r="A10" s="7">
        <v>8</v>
      </c>
      <c r="B10" s="4" t="s">
        <v>152</v>
      </c>
      <c r="C10" s="21" t="s">
        <v>177</v>
      </c>
      <c r="D10" s="1">
        <v>72</v>
      </c>
      <c r="E10" s="1">
        <v>26</v>
      </c>
      <c r="F10" s="1">
        <v>29</v>
      </c>
      <c r="G10" s="24">
        <v>8.1</v>
      </c>
      <c r="H10" s="3">
        <f t="shared" si="0"/>
        <v>-3</v>
      </c>
      <c r="I10" s="3">
        <f t="shared" si="1"/>
        <v>-4</v>
      </c>
      <c r="K10" s="37"/>
      <c r="L10" s="39"/>
      <c r="M10" s="28"/>
    </row>
    <row r="11" spans="1:13" ht="21" customHeight="1" x14ac:dyDescent="0.25">
      <c r="A11" s="7">
        <v>9</v>
      </c>
      <c r="B11" s="4" t="s">
        <v>153</v>
      </c>
      <c r="C11" s="21" t="s">
        <v>179</v>
      </c>
      <c r="D11" s="1">
        <v>89</v>
      </c>
      <c r="E11" s="1">
        <v>40</v>
      </c>
      <c r="F11" s="1">
        <v>95</v>
      </c>
      <c r="G11" s="24">
        <v>4.3</v>
      </c>
      <c r="H11" s="3">
        <f t="shared" si="0"/>
        <v>-55</v>
      </c>
      <c r="I11" s="3">
        <f t="shared" si="1"/>
        <v>-55</v>
      </c>
      <c r="K11" s="37"/>
      <c r="L11" s="31"/>
      <c r="M11" s="31"/>
    </row>
    <row r="12" spans="1:13" ht="21" customHeight="1" x14ac:dyDescent="0.25">
      <c r="A12" s="7">
        <v>10</v>
      </c>
      <c r="B12" s="4" t="s">
        <v>154</v>
      </c>
      <c r="C12" s="21" t="s">
        <v>177</v>
      </c>
      <c r="D12" s="1">
        <v>92</v>
      </c>
      <c r="E12" s="1">
        <v>33</v>
      </c>
      <c r="F12" s="1">
        <v>18</v>
      </c>
      <c r="G12" s="24">
        <v>10</v>
      </c>
      <c r="H12" s="3">
        <f t="shared" si="0"/>
        <v>15</v>
      </c>
      <c r="I12" s="3">
        <f t="shared" si="1"/>
        <v>20</v>
      </c>
      <c r="K12" s="37"/>
      <c r="L12" s="31"/>
      <c r="M12" s="31"/>
    </row>
    <row r="13" spans="1:13" ht="21" customHeight="1" x14ac:dyDescent="0.25">
      <c r="A13" s="7">
        <v>11</v>
      </c>
      <c r="B13" s="12" t="s">
        <v>155</v>
      </c>
      <c r="C13" s="21" t="s">
        <v>179</v>
      </c>
      <c r="D13" s="1">
        <v>109</v>
      </c>
      <c r="E13" s="1">
        <v>45</v>
      </c>
      <c r="F13" s="1">
        <v>42</v>
      </c>
      <c r="G13" s="24">
        <v>8.4</v>
      </c>
      <c r="H13" s="3">
        <f t="shared" si="0"/>
        <v>3</v>
      </c>
      <c r="I13" s="3">
        <f t="shared" si="1"/>
        <v>3</v>
      </c>
      <c r="K13" s="37"/>
      <c r="L13" s="31"/>
      <c r="M13" s="31"/>
    </row>
    <row r="14" spans="1:13" ht="21" customHeight="1" x14ac:dyDescent="0.25">
      <c r="A14" s="7">
        <v>12</v>
      </c>
      <c r="B14" s="4" t="s">
        <v>156</v>
      </c>
      <c r="C14" s="21" t="s">
        <v>181</v>
      </c>
      <c r="D14" s="1">
        <v>112</v>
      </c>
      <c r="E14" s="1">
        <v>2</v>
      </c>
      <c r="F14" s="1">
        <v>4</v>
      </c>
      <c r="G14" s="24">
        <v>9.6999999999999993</v>
      </c>
      <c r="H14" s="3">
        <f t="shared" si="0"/>
        <v>-2</v>
      </c>
      <c r="I14" s="3">
        <f t="shared" si="1"/>
        <v>-17</v>
      </c>
      <c r="K14" s="37"/>
      <c r="L14" s="31"/>
      <c r="M14" s="31"/>
    </row>
    <row r="15" spans="1:13" ht="21" customHeight="1" x14ac:dyDescent="0.25">
      <c r="A15" s="7">
        <v>13</v>
      </c>
      <c r="B15" s="12" t="s">
        <v>187</v>
      </c>
      <c r="C15" s="21" t="s">
        <v>182</v>
      </c>
      <c r="D15" s="1">
        <v>129</v>
      </c>
      <c r="E15" s="1">
        <v>6</v>
      </c>
      <c r="F15" s="1">
        <v>2</v>
      </c>
      <c r="G15" s="24">
        <v>9.4</v>
      </c>
      <c r="H15" s="2">
        <f t="shared" si="0"/>
        <v>4</v>
      </c>
      <c r="I15" s="2">
        <f t="shared" si="1"/>
        <v>43</v>
      </c>
      <c r="K15" s="37"/>
      <c r="L15" s="31"/>
      <c r="M15" s="31"/>
    </row>
    <row r="16" spans="1:13" ht="21" customHeight="1" x14ac:dyDescent="0.25">
      <c r="A16" s="7">
        <v>14</v>
      </c>
      <c r="B16" s="4" t="s">
        <v>157</v>
      </c>
      <c r="C16" s="21" t="s">
        <v>177</v>
      </c>
      <c r="D16" s="1">
        <v>132</v>
      </c>
      <c r="E16" s="1">
        <v>47</v>
      </c>
      <c r="F16" s="1">
        <v>42</v>
      </c>
      <c r="G16" s="24">
        <v>5.9</v>
      </c>
      <c r="H16" s="3">
        <f t="shared" si="0"/>
        <v>5</v>
      </c>
      <c r="I16" s="3">
        <f t="shared" si="1"/>
        <v>7</v>
      </c>
      <c r="K16" s="37"/>
      <c r="L16" s="40"/>
      <c r="M16" s="40"/>
    </row>
    <row r="17" spans="1:13" ht="21" customHeight="1" x14ac:dyDescent="0.25">
      <c r="A17" s="7">
        <v>15</v>
      </c>
      <c r="B17" s="12" t="s">
        <v>188</v>
      </c>
      <c r="C17" s="21" t="s">
        <v>182</v>
      </c>
      <c r="D17" s="1">
        <v>149</v>
      </c>
      <c r="E17" s="1">
        <v>9</v>
      </c>
      <c r="F17" s="1">
        <v>6</v>
      </c>
      <c r="G17" s="24">
        <v>7.6</v>
      </c>
      <c r="H17" s="3">
        <f t="shared" si="0"/>
        <v>3</v>
      </c>
      <c r="I17" s="3">
        <f t="shared" si="1"/>
        <v>32</v>
      </c>
      <c r="K17" s="37"/>
      <c r="L17" s="40"/>
      <c r="M17" s="40"/>
    </row>
    <row r="18" spans="1:13" ht="21" customHeight="1" x14ac:dyDescent="0.25">
      <c r="A18" s="7">
        <v>16</v>
      </c>
      <c r="B18" s="4" t="s">
        <v>158</v>
      </c>
      <c r="C18" s="21" t="s">
        <v>178</v>
      </c>
      <c r="D18" s="1">
        <v>152</v>
      </c>
      <c r="E18" s="1">
        <v>13</v>
      </c>
      <c r="F18" s="13">
        <v>10</v>
      </c>
      <c r="G18" s="25">
        <v>7.8</v>
      </c>
      <c r="H18" s="19">
        <f>E18-F18</f>
        <v>3</v>
      </c>
      <c r="I18" s="19">
        <f t="shared" si="1"/>
        <v>10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-55</v>
      </c>
      <c r="D21" s="56"/>
      <c r="E21" s="56">
        <f>SUM(I3:I18)</f>
        <v>-74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-3.4375</v>
      </c>
      <c r="D22" s="56"/>
      <c r="E22" s="56">
        <f>E21/16</f>
        <v>-4.625</v>
      </c>
      <c r="F22" s="56"/>
    </row>
    <row r="23" spans="1:13" ht="21" customHeight="1" x14ac:dyDescent="0.25">
      <c r="B23" s="35" t="s">
        <v>196</v>
      </c>
      <c r="C23" s="57">
        <f>AVERAGE(G3:G18)</f>
        <v>11.287500000000001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Ben Rothlisberger at 20.9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Greg Olsen at 2.8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Carlos Hyde at a 15 differential.</v>
      </c>
      <c r="D26" s="53"/>
      <c r="E26" s="53" t="str">
        <f>INDEX(B3:B18,MATCH(MAX(I3:I18),I3:I18,0),1) &amp; " at a " &amp; MAX(I3:I18) &amp; " differential."</f>
        <v>Hou D/ST at a 43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Jamison Crowder at a -55 differential.</v>
      </c>
      <c r="D27" s="53"/>
      <c r="E27" s="53" t="str">
        <f>INDEX(B3:B18,MATCH(MIN(I3:I18),I3:I18,0),1) &amp; " at a " &amp; MIN(I3:I18) &amp; " differential."</f>
        <v>Greg Olsen at a -115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Jamison Crowder at a -55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Greg Olsen at a -115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Matt Ryan</v>
      </c>
      <c r="D29" s="53"/>
      <c r="E29" s="54" t="str">
        <f ca="1">GetBetterDraftPick(MinMinusCellColorOfRelatedRow(B3:B18, I3:I18, K5), INDEX(D3:D18,MATCH(MinMinusCellColorOfRelatedRow(B3:B18, I3:I18, K5),I3:I18,0),1),A1)</f>
        <v>Matt Ryan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DeShean Jackson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George Kittle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-65</v>
      </c>
      <c r="D31" s="52"/>
      <c r="E31" s="52">
        <f ca="1">SumCellsInRowByColor(B3:B18, I3:I18, K3)</f>
        <v>-152</v>
      </c>
      <c r="F31" s="52"/>
    </row>
    <row r="32" spans="1:13" ht="21" customHeight="1" x14ac:dyDescent="0.25">
      <c r="B32" s="35" t="s">
        <v>80</v>
      </c>
      <c r="C32" s="52">
        <f ca="1">C31/L3</f>
        <v>-5</v>
      </c>
      <c r="D32" s="52"/>
      <c r="E32" s="52">
        <f ca="1">E31/L3</f>
        <v>-11.692307692307692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10</v>
      </c>
      <c r="D33" s="52"/>
      <c r="E33" s="52">
        <f ca="1">SumCellsInRowByColor(B3:B18, I3:I18, K4)</f>
        <v>78</v>
      </c>
      <c r="F33" s="52"/>
    </row>
    <row r="34" spans="2:6" ht="21" customHeight="1" x14ac:dyDescent="0.25">
      <c r="B34" s="35" t="s">
        <v>78</v>
      </c>
      <c r="C34" s="52">
        <f ca="1">C33/L4</f>
        <v>3.3333333333333335</v>
      </c>
      <c r="D34" s="52"/>
      <c r="E34" s="52">
        <f ca="1">E33/L4</f>
        <v>26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0</v>
      </c>
      <c r="D35" s="52"/>
      <c r="E35" s="52">
        <f ca="1">SumCellsInRowByColor(B3:B18, I3:I18, K6)</f>
        <v>0</v>
      </c>
      <c r="F35" s="52"/>
    </row>
    <row r="36" spans="2:6" ht="21" customHeight="1" x14ac:dyDescent="0.25">
      <c r="B36" s="35" t="s">
        <v>81</v>
      </c>
      <c r="C36" s="52">
        <f ca="1">IF(L6 &lt;&gt; 0, C35/L6, 0)</f>
        <v>0</v>
      </c>
      <c r="D36" s="52"/>
      <c r="E36" s="52">
        <f ca="1">IF(L6 &lt;&gt; 0, E35/L6, 0)</f>
        <v>0</v>
      </c>
      <c r="F36" s="52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5" priority="1" operator="equal">
      <formula>0</formula>
    </cfRule>
    <cfRule type="cellIs" dxfId="4" priority="2" operator="greaterThan">
      <formula>0</formula>
    </cfRule>
    <cfRule type="cellIs" dxfId="3" priority="3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6"/>
  <sheetViews>
    <sheetView zoomScale="70" zoomScaleNormal="70" workbookViewId="0">
      <selection activeCell="H16" sqref="H16"/>
    </sheetView>
  </sheetViews>
  <sheetFormatPr defaultRowHeight="15" x14ac:dyDescent="0.25"/>
  <cols>
    <col min="1" max="1" width="9.85546875" bestFit="1" customWidth="1"/>
    <col min="2" max="2" width="34.28515625" bestFit="1" customWidth="1"/>
    <col min="3" max="3" width="11" bestFit="1" customWidth="1"/>
    <col min="4" max="4" width="11.42578125" bestFit="1" customWidth="1"/>
    <col min="5" max="5" width="15.28515625" bestFit="1" customWidth="1"/>
    <col min="6" max="6" width="13.140625" bestFit="1" customWidth="1"/>
    <col min="7" max="7" width="14.42578125" bestFit="1" customWidth="1"/>
    <col min="8" max="9" width="14.28515625" bestFit="1" customWidth="1"/>
    <col min="11" max="11" width="32.140625" bestFit="1" customWidth="1"/>
    <col min="12" max="13" width="34.5703125" bestFit="1" customWidth="1"/>
  </cols>
  <sheetData>
    <row r="1" spans="1:13" s="42" customFormat="1" ht="22.5" customHeight="1" x14ac:dyDescent="0.25">
      <c r="A1" s="59" t="s">
        <v>208</v>
      </c>
      <c r="B1" s="59"/>
      <c r="C1" s="59"/>
      <c r="D1" s="59"/>
      <c r="E1" s="59"/>
      <c r="F1" s="59"/>
      <c r="G1" s="59"/>
      <c r="H1" s="59"/>
      <c r="I1" s="59"/>
    </row>
    <row r="2" spans="1:13" s="9" customFormat="1" ht="43.5" customHeight="1" x14ac:dyDescent="0.25">
      <c r="A2" s="8" t="s">
        <v>0</v>
      </c>
      <c r="B2" s="8" t="s">
        <v>1</v>
      </c>
      <c r="C2" s="8" t="s">
        <v>176</v>
      </c>
      <c r="D2" s="8" t="s">
        <v>2</v>
      </c>
      <c r="E2" s="8" t="s">
        <v>3</v>
      </c>
      <c r="F2" s="8" t="s">
        <v>19</v>
      </c>
      <c r="G2" s="8" t="s">
        <v>190</v>
      </c>
      <c r="H2" s="8" t="s">
        <v>20</v>
      </c>
      <c r="I2" s="8" t="s">
        <v>183</v>
      </c>
      <c r="K2" s="10" t="s">
        <v>24</v>
      </c>
      <c r="L2" s="10" t="s">
        <v>44</v>
      </c>
    </row>
    <row r="3" spans="1:13" ht="21" customHeight="1" x14ac:dyDescent="0.25">
      <c r="A3" s="7">
        <v>1</v>
      </c>
      <c r="B3" s="4" t="s">
        <v>159</v>
      </c>
      <c r="C3" s="21" t="s">
        <v>177</v>
      </c>
      <c r="D3" s="1">
        <v>10</v>
      </c>
      <c r="E3" s="1">
        <v>7</v>
      </c>
      <c r="F3" s="1">
        <v>5</v>
      </c>
      <c r="G3" s="24">
        <v>18.899999999999999</v>
      </c>
      <c r="H3" s="2">
        <f>E3-F3</f>
        <v>2</v>
      </c>
      <c r="I3" s="2">
        <f>ROUND(IF(C3="WR", H3, IF(C3="RB", H3*1.326, IF(C3="QB", H3*3.145, IF(C3="TE", H3*3.495, IF(C3="K", H3*8.65, IF(C3="D/ST", H3*10.813, "ERROR")))))),0)</f>
        <v>3</v>
      </c>
      <c r="K3" s="16" t="s">
        <v>25</v>
      </c>
      <c r="L3" s="11">
        <f ca="1">CountCellsByColor(B3:B18,K3)</f>
        <v>6</v>
      </c>
    </row>
    <row r="4" spans="1:13" ht="21" customHeight="1" x14ac:dyDescent="0.25">
      <c r="A4" s="7">
        <v>2</v>
      </c>
      <c r="B4" s="5" t="s">
        <v>160</v>
      </c>
      <c r="C4" s="21" t="s">
        <v>179</v>
      </c>
      <c r="D4" s="1">
        <v>11</v>
      </c>
      <c r="E4" s="1">
        <v>3</v>
      </c>
      <c r="F4" s="1">
        <v>6</v>
      </c>
      <c r="G4" s="24">
        <v>15.2</v>
      </c>
      <c r="H4" s="3">
        <f t="shared" ref="H4:H17" si="0">E4-F4</f>
        <v>-3</v>
      </c>
      <c r="I4" s="3">
        <f t="shared" ref="I4:I18" si="1">ROUND(IF(C4="WR", H4, IF(C4="RB", H4*1.326, IF(C4="QB", H4*3.145, IF(C4="TE", H4*3.495, IF(C4="K", H4*8.65, IF(C4="D/ST", H4*10.813, "ERROR")))))),0)</f>
        <v>-3</v>
      </c>
      <c r="K4" s="17" t="s">
        <v>27</v>
      </c>
      <c r="L4" s="11">
        <f ca="1">CountCellsByColor(B3:B18,K4)</f>
        <v>6</v>
      </c>
    </row>
    <row r="5" spans="1:13" ht="21" customHeight="1" x14ac:dyDescent="0.25">
      <c r="A5" s="7">
        <v>3</v>
      </c>
      <c r="B5" s="12" t="s">
        <v>161</v>
      </c>
      <c r="C5" s="21" t="s">
        <v>179</v>
      </c>
      <c r="D5" s="1">
        <v>30</v>
      </c>
      <c r="E5" s="1">
        <v>13</v>
      </c>
      <c r="F5" s="1">
        <v>63</v>
      </c>
      <c r="G5" s="24">
        <v>5.7</v>
      </c>
      <c r="H5" s="3">
        <f t="shared" si="0"/>
        <v>-50</v>
      </c>
      <c r="I5" s="3">
        <f t="shared" si="1"/>
        <v>-50</v>
      </c>
      <c r="K5" s="18" t="s">
        <v>26</v>
      </c>
      <c r="L5" s="11">
        <f ca="1">CountCellsByColor(B3:B18,K5)</f>
        <v>2</v>
      </c>
    </row>
    <row r="6" spans="1:13" ht="21" customHeight="1" x14ac:dyDescent="0.25">
      <c r="A6" s="7">
        <v>4</v>
      </c>
      <c r="B6" s="5" t="s">
        <v>162</v>
      </c>
      <c r="C6" s="21" t="s">
        <v>177</v>
      </c>
      <c r="D6" s="1">
        <v>31</v>
      </c>
      <c r="E6" s="1">
        <v>12</v>
      </c>
      <c r="F6" s="1">
        <v>32</v>
      </c>
      <c r="G6" s="24">
        <v>8.4</v>
      </c>
      <c r="H6" s="3">
        <f t="shared" si="0"/>
        <v>-20</v>
      </c>
      <c r="I6" s="3">
        <f t="shared" si="1"/>
        <v>-27</v>
      </c>
      <c r="K6" s="15" t="s">
        <v>28</v>
      </c>
      <c r="L6" s="11">
        <f ca="1">CountCellsByColor(B3:B18,K6)</f>
        <v>2</v>
      </c>
    </row>
    <row r="7" spans="1:13" ht="21" customHeight="1" x14ac:dyDescent="0.25">
      <c r="A7" s="7">
        <v>5</v>
      </c>
      <c r="B7" s="4" t="s">
        <v>163</v>
      </c>
      <c r="C7" s="21" t="s">
        <v>180</v>
      </c>
      <c r="D7" s="1">
        <v>50</v>
      </c>
      <c r="E7" s="1">
        <v>7</v>
      </c>
      <c r="F7" s="1">
        <v>13</v>
      </c>
      <c r="G7" s="24">
        <v>17.7</v>
      </c>
      <c r="H7" s="3">
        <f t="shared" si="0"/>
        <v>-6</v>
      </c>
      <c r="I7" s="3">
        <f t="shared" si="1"/>
        <v>-19</v>
      </c>
      <c r="K7" s="36"/>
      <c r="L7" s="36"/>
      <c r="M7" s="36"/>
    </row>
    <row r="8" spans="1:13" ht="21" customHeight="1" x14ac:dyDescent="0.25">
      <c r="A8" s="7">
        <v>6</v>
      </c>
      <c r="B8" s="4" t="s">
        <v>164</v>
      </c>
      <c r="C8" s="21" t="s">
        <v>179</v>
      </c>
      <c r="D8" s="1">
        <v>51</v>
      </c>
      <c r="E8" s="1">
        <v>21</v>
      </c>
      <c r="F8" s="1">
        <v>20</v>
      </c>
      <c r="G8" s="24">
        <v>11.9</v>
      </c>
      <c r="H8" s="2">
        <f t="shared" si="0"/>
        <v>1</v>
      </c>
      <c r="I8" s="2">
        <f t="shared" si="1"/>
        <v>1</v>
      </c>
      <c r="K8" s="37"/>
      <c r="L8" s="38"/>
      <c r="M8" s="38"/>
    </row>
    <row r="9" spans="1:13" ht="21" customHeight="1" x14ac:dyDescent="0.25">
      <c r="A9" s="7">
        <v>7</v>
      </c>
      <c r="B9" s="4" t="s">
        <v>165</v>
      </c>
      <c r="C9" s="21" t="s">
        <v>178</v>
      </c>
      <c r="D9" s="1">
        <v>70</v>
      </c>
      <c r="E9" s="1">
        <v>7</v>
      </c>
      <c r="F9" s="1">
        <v>14</v>
      </c>
      <c r="G9" s="24">
        <v>6.5</v>
      </c>
      <c r="H9" s="3">
        <f t="shared" si="0"/>
        <v>-7</v>
      </c>
      <c r="I9" s="3">
        <f t="shared" si="1"/>
        <v>-24</v>
      </c>
      <c r="K9" s="37"/>
      <c r="L9" s="38"/>
      <c r="M9" s="38"/>
    </row>
    <row r="10" spans="1:13" ht="21" customHeight="1" x14ac:dyDescent="0.25">
      <c r="A10" s="7">
        <v>8</v>
      </c>
      <c r="B10" s="4" t="s">
        <v>166</v>
      </c>
      <c r="C10" s="21" t="s">
        <v>177</v>
      </c>
      <c r="D10" s="1">
        <v>71</v>
      </c>
      <c r="E10" s="1">
        <v>25</v>
      </c>
      <c r="F10" s="1">
        <v>28</v>
      </c>
      <c r="G10" s="24">
        <v>8.6</v>
      </c>
      <c r="H10" s="3">
        <f t="shared" si="0"/>
        <v>-3</v>
      </c>
      <c r="I10" s="3">
        <f t="shared" si="1"/>
        <v>-4</v>
      </c>
      <c r="K10" s="37"/>
      <c r="L10" s="39"/>
      <c r="M10" s="28"/>
    </row>
    <row r="11" spans="1:13" ht="21" customHeight="1" x14ac:dyDescent="0.25">
      <c r="A11" s="7">
        <v>9</v>
      </c>
      <c r="B11" s="12" t="s">
        <v>167</v>
      </c>
      <c r="C11" s="21" t="s">
        <v>182</v>
      </c>
      <c r="D11" s="1">
        <v>90</v>
      </c>
      <c r="E11" s="1">
        <v>2</v>
      </c>
      <c r="F11" s="1">
        <v>21</v>
      </c>
      <c r="G11" s="24">
        <v>4.7</v>
      </c>
      <c r="H11" s="3">
        <f t="shared" si="0"/>
        <v>-19</v>
      </c>
      <c r="I11" s="3">
        <f t="shared" si="1"/>
        <v>-205</v>
      </c>
      <c r="K11" s="37"/>
      <c r="L11" s="31"/>
      <c r="M11" s="31"/>
    </row>
    <row r="12" spans="1:13" ht="21" customHeight="1" x14ac:dyDescent="0.25">
      <c r="A12" s="7">
        <v>10</v>
      </c>
      <c r="B12" s="12" t="s">
        <v>168</v>
      </c>
      <c r="C12" s="21" t="s">
        <v>179</v>
      </c>
      <c r="D12" s="1">
        <v>91</v>
      </c>
      <c r="E12" s="1">
        <v>41</v>
      </c>
      <c r="F12" s="1">
        <v>59</v>
      </c>
      <c r="G12" s="24">
        <v>6.1</v>
      </c>
      <c r="H12" s="3">
        <f t="shared" si="0"/>
        <v>-18</v>
      </c>
      <c r="I12" s="3">
        <f t="shared" si="1"/>
        <v>-18</v>
      </c>
      <c r="K12" s="37"/>
      <c r="L12" s="31"/>
      <c r="M12" s="31"/>
    </row>
    <row r="13" spans="1:13" ht="21" customHeight="1" x14ac:dyDescent="0.25">
      <c r="A13" s="7">
        <v>11</v>
      </c>
      <c r="B13" s="12" t="s">
        <v>169</v>
      </c>
      <c r="C13" s="21" t="s">
        <v>181</v>
      </c>
      <c r="D13" s="1">
        <v>110</v>
      </c>
      <c r="E13" s="1">
        <v>1</v>
      </c>
      <c r="F13" s="1">
        <v>29</v>
      </c>
      <c r="G13" s="24">
        <v>4.0999999999999996</v>
      </c>
      <c r="H13" s="3">
        <f t="shared" si="0"/>
        <v>-28</v>
      </c>
      <c r="I13" s="3">
        <f t="shared" si="1"/>
        <v>-242</v>
      </c>
      <c r="K13" s="37"/>
      <c r="L13" s="31"/>
      <c r="M13" s="31"/>
    </row>
    <row r="14" spans="1:13" ht="21" customHeight="1" x14ac:dyDescent="0.25">
      <c r="A14" s="7">
        <v>12</v>
      </c>
      <c r="B14" s="6" t="s">
        <v>170</v>
      </c>
      <c r="C14" s="21" t="s">
        <v>180</v>
      </c>
      <c r="D14" s="1">
        <v>111</v>
      </c>
      <c r="E14" s="1">
        <v>11</v>
      </c>
      <c r="F14" s="1">
        <v>34</v>
      </c>
      <c r="G14" s="24">
        <v>6.6</v>
      </c>
      <c r="H14" s="3">
        <f t="shared" si="0"/>
        <v>-23</v>
      </c>
      <c r="I14" s="3">
        <f t="shared" si="1"/>
        <v>-72</v>
      </c>
      <c r="K14" s="37"/>
      <c r="L14" s="31"/>
      <c r="M14" s="31"/>
    </row>
    <row r="15" spans="1:13" ht="21" customHeight="1" x14ac:dyDescent="0.25">
      <c r="A15" s="7">
        <v>13</v>
      </c>
      <c r="B15" s="4" t="s">
        <v>171</v>
      </c>
      <c r="C15" s="21" t="s">
        <v>177</v>
      </c>
      <c r="D15" s="1">
        <v>130</v>
      </c>
      <c r="E15" s="1">
        <v>46</v>
      </c>
      <c r="F15" s="1">
        <v>15</v>
      </c>
      <c r="G15" s="24">
        <v>12.3</v>
      </c>
      <c r="H15" s="2">
        <f>E15-F15</f>
        <v>31</v>
      </c>
      <c r="I15" s="2">
        <f t="shared" si="1"/>
        <v>41</v>
      </c>
      <c r="K15" s="37"/>
      <c r="L15" s="31"/>
      <c r="M15" s="31"/>
    </row>
    <row r="16" spans="1:13" ht="21" customHeight="1" x14ac:dyDescent="0.25">
      <c r="A16" s="7">
        <v>14</v>
      </c>
      <c r="B16" s="6" t="s">
        <v>172</v>
      </c>
      <c r="C16" s="21" t="s">
        <v>179</v>
      </c>
      <c r="D16" s="1">
        <v>131</v>
      </c>
      <c r="E16" s="1">
        <v>50</v>
      </c>
      <c r="F16" s="1">
        <v>172</v>
      </c>
      <c r="G16" s="24">
        <v>0</v>
      </c>
      <c r="H16" s="3">
        <f t="shared" si="0"/>
        <v>-122</v>
      </c>
      <c r="I16" s="3">
        <f t="shared" si="1"/>
        <v>-122</v>
      </c>
      <c r="K16" s="37"/>
      <c r="L16" s="40"/>
      <c r="M16" s="40"/>
    </row>
    <row r="17" spans="1:13" ht="21" customHeight="1" x14ac:dyDescent="0.25">
      <c r="A17" s="7">
        <v>15</v>
      </c>
      <c r="B17" s="12" t="s">
        <v>173</v>
      </c>
      <c r="C17" s="21" t="s">
        <v>179</v>
      </c>
      <c r="D17" s="1">
        <v>150</v>
      </c>
      <c r="E17" s="1">
        <v>58</v>
      </c>
      <c r="F17" s="1">
        <v>89</v>
      </c>
      <c r="G17" s="24">
        <v>4.4000000000000004</v>
      </c>
      <c r="H17" s="3">
        <f t="shared" si="0"/>
        <v>-31</v>
      </c>
      <c r="I17" s="3">
        <f t="shared" si="1"/>
        <v>-31</v>
      </c>
      <c r="K17" s="37"/>
      <c r="L17" s="40"/>
      <c r="M17" s="40"/>
    </row>
    <row r="18" spans="1:13" ht="21" customHeight="1" x14ac:dyDescent="0.25">
      <c r="A18" s="7">
        <v>16</v>
      </c>
      <c r="B18" s="12" t="s">
        <v>174</v>
      </c>
      <c r="C18" s="21" t="s">
        <v>177</v>
      </c>
      <c r="D18" s="1">
        <v>151</v>
      </c>
      <c r="E18" s="1">
        <v>51</v>
      </c>
      <c r="F18" s="13">
        <v>27</v>
      </c>
      <c r="G18" s="25">
        <v>8.9</v>
      </c>
      <c r="H18" s="19">
        <f>E18-F18</f>
        <v>24</v>
      </c>
      <c r="I18" s="19">
        <f t="shared" si="1"/>
        <v>32</v>
      </c>
      <c r="K18" s="37"/>
      <c r="L18" s="40"/>
      <c r="M18" s="40"/>
    </row>
    <row r="19" spans="1:13" ht="21" customHeight="1" x14ac:dyDescent="0.25">
      <c r="K19" s="37"/>
      <c r="L19" s="40"/>
      <c r="M19" s="40"/>
    </row>
    <row r="20" spans="1:13" ht="21" customHeight="1" x14ac:dyDescent="0.25">
      <c r="B20" s="8"/>
      <c r="C20" s="55" t="s">
        <v>185</v>
      </c>
      <c r="D20" s="55"/>
      <c r="E20" s="55" t="s">
        <v>186</v>
      </c>
      <c r="F20" s="55"/>
      <c r="K20" s="37"/>
      <c r="L20" s="40"/>
      <c r="M20" s="40"/>
    </row>
    <row r="21" spans="1:13" ht="21" customHeight="1" x14ac:dyDescent="0.25">
      <c r="B21" s="35" t="s">
        <v>21</v>
      </c>
      <c r="C21" s="56">
        <f>SUM(H3:H18)</f>
        <v>-272</v>
      </c>
      <c r="D21" s="56"/>
      <c r="E21" s="56">
        <f>SUM(I3:I18)</f>
        <v>-740</v>
      </c>
      <c r="F21" s="56"/>
      <c r="K21" s="37"/>
      <c r="L21" s="40"/>
      <c r="M21" s="40"/>
    </row>
    <row r="22" spans="1:13" ht="21" customHeight="1" x14ac:dyDescent="0.25">
      <c r="B22" s="35" t="s">
        <v>22</v>
      </c>
      <c r="C22" s="56">
        <f>C21/16</f>
        <v>-17</v>
      </c>
      <c r="D22" s="56"/>
      <c r="E22" s="56">
        <f>E21/16</f>
        <v>-46.25</v>
      </c>
      <c r="F22" s="56"/>
    </row>
    <row r="23" spans="1:13" ht="21" customHeight="1" x14ac:dyDescent="0.25">
      <c r="B23" s="35" t="s">
        <v>196</v>
      </c>
      <c r="C23" s="57">
        <f>AVERAGE(G3:G18)</f>
        <v>8.7499999999999982</v>
      </c>
      <c r="D23" s="57"/>
      <c r="E23" s="60"/>
      <c r="F23" s="60"/>
    </row>
    <row r="24" spans="1:13" ht="33" customHeight="1" x14ac:dyDescent="0.25">
      <c r="B24" s="35" t="s">
        <v>197</v>
      </c>
      <c r="C24" s="53" t="str">
        <f>INDEX(B3:B18,MATCH(MAX(G3:G18),G3:G18,0),1) &amp; " at " &amp; MAX(G3:G18) &amp; " average points."</f>
        <v>Kareem Hunt at 18.9 average points.</v>
      </c>
      <c r="D24" s="53"/>
      <c r="E24" s="58"/>
      <c r="F24" s="58"/>
    </row>
    <row r="25" spans="1:13" ht="33" customHeight="1" x14ac:dyDescent="0.25">
      <c r="B25" s="35" t="s">
        <v>198</v>
      </c>
      <c r="C25" s="53" t="str">
        <f>INDEX(B3:B18,MATCH(MIN(G3:G18),G3:G18,0),1) &amp; " at " &amp; MIN(G3:G18) &amp; " average points."</f>
        <v>Marqise Lee at 0 average points.</v>
      </c>
      <c r="D25" s="53"/>
      <c r="E25" s="58"/>
      <c r="F25" s="58"/>
    </row>
    <row r="26" spans="1:13" ht="33" customHeight="1" x14ac:dyDescent="0.25">
      <c r="B26" s="35" t="s">
        <v>23</v>
      </c>
      <c r="C26" s="53" t="str">
        <f>INDEX(B3:B18,MATCH(MAX(H3:H18),H3:H18,0),1) &amp; " at a " &amp; MAX(H3:H18) &amp; " differential."</f>
        <v>Adrian Peterson at a 31 differential.</v>
      </c>
      <c r="D26" s="53"/>
      <c r="E26" s="53" t="str">
        <f>INDEX(B3:B18,MATCH(MAX(I3:I18),I3:I18,0),1) &amp; " at a " &amp; MAX(I3:I18) &amp; " differential."</f>
        <v>Adrian Peterson at a 41 differential.</v>
      </c>
      <c r="F26" s="53"/>
    </row>
    <row r="27" spans="1:13" ht="33" customHeight="1" x14ac:dyDescent="0.25">
      <c r="B27" s="35" t="s">
        <v>45</v>
      </c>
      <c r="C27" s="53" t="str">
        <f>INDEX(B3:B18,MATCH(MIN(H3:H18),H3:H18,0),1) &amp; " at a " &amp; MIN(H3:H18) &amp; " differential."</f>
        <v>Marqise Lee at a -122 differential.</v>
      </c>
      <c r="D27" s="53"/>
      <c r="E27" s="53" t="str">
        <f>INDEX(B3:B18,MATCH(MIN(I3:I18),I3:I18,0),1) &amp; " at a " &amp; MIN(I3:I18) &amp; " differential."</f>
        <v>Greg Zuerlein at a -242 differential.</v>
      </c>
      <c r="F27" s="53"/>
    </row>
    <row r="28" spans="1:13" ht="33" customHeight="1" x14ac:dyDescent="0.25">
      <c r="B28" s="35" t="s">
        <v>46</v>
      </c>
      <c r="C28" s="53" t="str">
        <f ca="1">INDEX(B3:B18,MATCH(MinMinusCellColorOfRelatedRow(B3:B18, H3:H18, K5),H3:H18,0),1) &amp; " at a " &amp; MinMinusCellColorOfRelatedRow(B3:B18, H3:H18, K5) &amp; " differential."</f>
        <v>Larry Fitzgerald at a -50 differential.</v>
      </c>
      <c r="D28" s="53"/>
      <c r="E28" s="53" t="str">
        <f ca="1">INDEX(B3:B18,MATCH(MinMinusCellColorOfRelatedRow(B3:B18, I3:I18, K5),I3:I18,0),1) &amp; " at a " &amp; MinMinusCellColorOfRelatedRow(B3:B18, I3:I18, K5) &amp; " differential."</f>
        <v>Greg Zuerlein at a -242 differential.</v>
      </c>
      <c r="F28" s="53"/>
    </row>
    <row r="29" spans="1:13" ht="21" customHeight="1" x14ac:dyDescent="0.25">
      <c r="B29" s="35" t="s">
        <v>189</v>
      </c>
      <c r="C29" s="53" t="str">
        <f ca="1">GetBetterDraftPick(MinMinusCellColorOfRelatedRow(B3:B18, H3:H18, K5), INDEX(D3:D18,MATCH(MinMinusCellColorOfRelatedRow(B3:B18, H3:H18, K5),H3:H18,0),1),A1)</f>
        <v>Matt Ryan</v>
      </c>
      <c r="D29" s="53"/>
      <c r="E29" s="54" t="str">
        <f ca="1">GetBetterDraftPick(MinMinusCellColorOfRelatedRow(B3:B18, I3:I18, K5), INDEX(D3:D18,MATCH(MinMinusCellColorOfRelatedRow(B3:B18, I3:I18, K5),I3:I18,0),1),A1)</f>
        <v>Jared Goff</v>
      </c>
      <c r="F29" s="54"/>
    </row>
    <row r="30" spans="1:13" ht="21" customHeight="1" x14ac:dyDescent="0.25">
      <c r="B30" s="35" t="s">
        <v>194</v>
      </c>
      <c r="C30" s="53" t="str">
        <f ca="1">GetBetterDraftPickAtSamePosition(MinMinusCellColorOfRelatedRow(B3:B18, H3:H18, K5), INDEX(D3:D18,MATCH(MinMinusCellColorOfRelatedRow(B3:B18, H3:H18, K5),H3:H18,0),1), INDEX(C3:C18,MATCH(MinMinusCellColorOfRelatedRow(B3:B18,H3:H18,K5),H3:H18,0),1),A1)</f>
        <v>Emmanual Sanders</v>
      </c>
      <c r="D30" s="53"/>
      <c r="E30" s="53" t="str">
        <f ca="1">GetBetterDraftPickAtSamePosition(MinMinusCellColorOfRelatedRow(B3:B18, I3:I18, K5), INDEX(D3:D18,MATCH(MinMinusCellColorOfRelatedRow(B3:B18, I3:I18, K5),I3:I18,0),1), INDEX(C3:C18,MATCH(MinMinusCellColorOfRelatedRow(B3:B18,I3:I18,K5),I3:I18,0),1),A1)</f>
        <v>Mason Crosby</v>
      </c>
      <c r="F30" s="53"/>
    </row>
    <row r="31" spans="1:13" ht="21" customHeight="1" x14ac:dyDescent="0.25">
      <c r="B31" s="35" t="s">
        <v>76</v>
      </c>
      <c r="C31" s="52">
        <f ca="1">SumCellsInRowByColor(B3:B18, H3:H18, K3)</f>
        <v>18</v>
      </c>
      <c r="D31" s="52"/>
      <c r="E31" s="52">
        <f ca="1">SumCellsInRowByColor(B3:B18, I3:I18, K3)</f>
        <v>-2</v>
      </c>
      <c r="F31" s="52"/>
    </row>
    <row r="32" spans="1:13" ht="21" customHeight="1" x14ac:dyDescent="0.25">
      <c r="B32" s="35" t="s">
        <v>80</v>
      </c>
      <c r="C32" s="52">
        <f ca="1">C31/L3</f>
        <v>3</v>
      </c>
      <c r="D32" s="52"/>
      <c r="E32" s="52">
        <f ca="1">E31/L3</f>
        <v>-0.33333333333333331</v>
      </c>
      <c r="F32" s="52"/>
    </row>
    <row r="33" spans="2:6" ht="21" customHeight="1" x14ac:dyDescent="0.25">
      <c r="B33" s="35" t="s">
        <v>77</v>
      </c>
      <c r="C33" s="52">
        <f ca="1">SumCellsInRowByColor(B3:B18, H3:H18, K4)</f>
        <v>-122</v>
      </c>
      <c r="D33" s="52"/>
      <c r="E33" s="52">
        <f ca="1">SumCellsInRowByColor(B3:B18, I3:I18, K4)</f>
        <v>-514</v>
      </c>
      <c r="F33" s="52"/>
    </row>
    <row r="34" spans="2:6" ht="21" customHeight="1" x14ac:dyDescent="0.25">
      <c r="B34" s="35" t="s">
        <v>78</v>
      </c>
      <c r="C34" s="52">
        <f ca="1">C33/L4</f>
        <v>-20.333333333333332</v>
      </c>
      <c r="D34" s="52"/>
      <c r="E34" s="52">
        <f ca="1">E33/L4</f>
        <v>-85.666666666666671</v>
      </c>
      <c r="F34" s="52"/>
    </row>
    <row r="35" spans="2:6" ht="21" customHeight="1" x14ac:dyDescent="0.25">
      <c r="B35" s="35" t="s">
        <v>79</v>
      </c>
      <c r="C35" s="52">
        <f ca="1">SumCellsInRowByColor(B3:B18, H3:H18, K6)</f>
        <v>-23</v>
      </c>
      <c r="D35" s="52"/>
      <c r="E35" s="52">
        <f ca="1">SumCellsInRowByColor(B3:B18, I3:I18, K6)</f>
        <v>-30</v>
      </c>
      <c r="F35" s="52"/>
    </row>
    <row r="36" spans="2:6" ht="21" customHeight="1" x14ac:dyDescent="0.25">
      <c r="B36" s="35" t="s">
        <v>81</v>
      </c>
      <c r="C36" s="52">
        <f ca="1">IF(L6 &lt;&gt; 0, C35/L6, 0)</f>
        <v>-11.5</v>
      </c>
      <c r="D36" s="52"/>
      <c r="E36" s="52">
        <f ca="1">IF(L6 &lt;&gt; 0, E35/L6, 0)</f>
        <v>-15</v>
      </c>
      <c r="F36" s="52"/>
    </row>
  </sheetData>
  <mergeCells count="35">
    <mergeCell ref="C35:D35"/>
    <mergeCell ref="E35:F35"/>
    <mergeCell ref="C36:D36"/>
    <mergeCell ref="E36:F36"/>
    <mergeCell ref="C32:D32"/>
    <mergeCell ref="E32:F32"/>
    <mergeCell ref="C33:D33"/>
    <mergeCell ref="E33:F33"/>
    <mergeCell ref="C34:D34"/>
    <mergeCell ref="E34:F34"/>
    <mergeCell ref="C29:D29"/>
    <mergeCell ref="E29:F29"/>
    <mergeCell ref="C30:D30"/>
    <mergeCell ref="E30:F30"/>
    <mergeCell ref="C31:D31"/>
    <mergeCell ref="E31:F31"/>
    <mergeCell ref="C26:D26"/>
    <mergeCell ref="E26:F26"/>
    <mergeCell ref="C27:D27"/>
    <mergeCell ref="E27:F27"/>
    <mergeCell ref="C28:D28"/>
    <mergeCell ref="E28:F28"/>
    <mergeCell ref="C23:D23"/>
    <mergeCell ref="E23:F23"/>
    <mergeCell ref="C24:D24"/>
    <mergeCell ref="E24:F24"/>
    <mergeCell ref="C25:D25"/>
    <mergeCell ref="E25:F25"/>
    <mergeCell ref="C22:D22"/>
    <mergeCell ref="E22:F22"/>
    <mergeCell ref="A1:I1"/>
    <mergeCell ref="C20:D20"/>
    <mergeCell ref="E20:F20"/>
    <mergeCell ref="C21:D21"/>
    <mergeCell ref="E21:F21"/>
  </mergeCells>
  <conditionalFormatting sqref="H3:I18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51"/>
  <sheetViews>
    <sheetView zoomScale="85" zoomScaleNormal="85" workbookViewId="0">
      <selection activeCell="F4" sqref="F4"/>
    </sheetView>
  </sheetViews>
  <sheetFormatPr defaultRowHeight="15" x14ac:dyDescent="0.25"/>
  <cols>
    <col min="1" max="1" width="41.85546875" style="27" bestFit="1" customWidth="1"/>
    <col min="2" max="2" width="47" style="29" bestFit="1" customWidth="1"/>
    <col min="3" max="3" width="46.28515625" style="27" bestFit="1" customWidth="1"/>
    <col min="4" max="4" width="9.140625" style="27"/>
    <col min="5" max="5" width="3.140625" style="27" bestFit="1" customWidth="1"/>
    <col min="6" max="6" width="45.28515625" style="27" bestFit="1" customWidth="1"/>
    <col min="7" max="7" width="9.140625" style="27"/>
    <col min="8" max="8" width="3.140625" style="27" bestFit="1" customWidth="1"/>
    <col min="9" max="9" width="46.5703125" style="27" bestFit="1" customWidth="1"/>
    <col min="10" max="16384" width="9.140625" style="27"/>
  </cols>
  <sheetData>
    <row r="1" spans="1:20" ht="42" customHeight="1" x14ac:dyDescent="0.25">
      <c r="A1" s="62" t="s">
        <v>210</v>
      </c>
      <c r="B1" s="62"/>
      <c r="C1" s="62"/>
      <c r="D1" s="62"/>
      <c r="E1" s="62"/>
      <c r="F1" s="62"/>
      <c r="G1" s="62"/>
      <c r="H1" s="62"/>
      <c r="I1" s="62"/>
      <c r="J1" s="45"/>
      <c r="K1" s="45"/>
      <c r="L1" s="49"/>
      <c r="M1" s="49"/>
      <c r="N1" s="45"/>
      <c r="O1" s="45"/>
      <c r="P1" s="45"/>
      <c r="Q1" s="45"/>
      <c r="R1" s="45"/>
      <c r="S1" s="45"/>
      <c r="T1" s="45"/>
    </row>
    <row r="2" spans="1:20" ht="21" customHeight="1" x14ac:dyDescent="0.25"/>
    <row r="3" spans="1:20" ht="21" customHeight="1" x14ac:dyDescent="0.25">
      <c r="A3" s="46"/>
      <c r="B3" s="61" t="s">
        <v>209</v>
      </c>
      <c r="C3" s="61"/>
      <c r="E3" s="63" t="s">
        <v>223</v>
      </c>
      <c r="F3" s="63"/>
      <c r="H3" s="63" t="s">
        <v>224</v>
      </c>
      <c r="I3" s="63"/>
    </row>
    <row r="4" spans="1:20" ht="21" customHeight="1" x14ac:dyDescent="0.25">
      <c r="A4" s="32"/>
      <c r="B4" s="47" t="s">
        <v>185</v>
      </c>
      <c r="C4" s="33" t="s">
        <v>186</v>
      </c>
      <c r="E4" s="48">
        <v>1</v>
      </c>
      <c r="F4" s="30" t="str">
        <f>BestPickByRoundNumber(3,8,TRUE)</f>
        <v>Wes picking Saquan Barkley with a 3 diff.</v>
      </c>
      <c r="H4" s="48">
        <v>1</v>
      </c>
      <c r="I4" s="30" t="str">
        <f>BestPickByRoundNumber(3,8,FALSE)</f>
        <v>Annie picking Le'Veon Bell with a -117 diff.</v>
      </c>
    </row>
    <row r="5" spans="1:20" ht="21" customHeight="1" x14ac:dyDescent="0.25">
      <c r="A5" s="48" t="s">
        <v>215</v>
      </c>
      <c r="B5" s="34" t="str">
        <f>GetExtremeValueAcrossAllSheets(C21,TRUE, FALSE)</f>
        <v>Anthony at a value of -39</v>
      </c>
      <c r="C5" s="34" t="str">
        <f>GetExtremeValueAcrossAllSheets(E21,TRUE, FALSE)</f>
        <v>Sheila at a value of -74</v>
      </c>
      <c r="E5" s="48">
        <v>2</v>
      </c>
      <c r="F5" s="30" t="str">
        <f>BestPickByRoundNumber(4,8,TRUE)</f>
        <v>Sheila picking Melvin Gordon with a 6 diff.</v>
      </c>
      <c r="H5" s="48">
        <v>2</v>
      </c>
      <c r="I5" s="30" t="str">
        <f>BestPickByRoundNumber(4,8,FALSE)</f>
        <v>Annie picking Devonte Freeman with a -70 diff.</v>
      </c>
    </row>
    <row r="6" spans="1:20" ht="21" customHeight="1" x14ac:dyDescent="0.25">
      <c r="A6" s="48" t="s">
        <v>216</v>
      </c>
      <c r="B6" s="34" t="str">
        <f>GetExtremeValueAcrossAllSheets(C21,FALSE, FALSE)</f>
        <v>Annie at a value of -444</v>
      </c>
      <c r="C6" s="34" t="str">
        <f>GetExtremeValueAcrossAllSheets(E21,FALSE, FALSE)</f>
        <v>Colin at a value of -740</v>
      </c>
      <c r="E6" s="48">
        <v>3</v>
      </c>
      <c r="F6" s="30" t="str">
        <f>BestPickByRoundNumber(5,8,TRUE)</f>
        <v>Sheila picking Adam Thielen with a 11 diff.</v>
      </c>
      <c r="H6" s="48">
        <v>3</v>
      </c>
      <c r="I6" s="30" t="str">
        <f>BestPickByRoundNumber(5,8,FALSE)</f>
        <v>Devon picking Jerick McKinnon with a -107 diff.</v>
      </c>
    </row>
    <row r="7" spans="1:20" ht="21" customHeight="1" x14ac:dyDescent="0.25">
      <c r="A7" s="48" t="s">
        <v>214</v>
      </c>
      <c r="B7" s="34" t="str">
        <f>GetExtremeValueAcrossAllSheets(C31,TRUE, FALSE)</f>
        <v xml:space="preserve"> at a value of 0</v>
      </c>
      <c r="C7" s="34" t="str">
        <f>GetExtremeValueAcrossAllSheets(E31,TRUE, FALSE)</f>
        <v xml:space="preserve"> at a value of 0</v>
      </c>
      <c r="E7" s="48">
        <v>4</v>
      </c>
      <c r="F7" s="30" t="str">
        <f>BestPickByRoundNumber(6,8,TRUE)</f>
        <v>Sheila picking Joe Mixon with a -4 diff.</v>
      </c>
      <c r="H7" s="48">
        <v>4</v>
      </c>
      <c r="I7" s="30" t="str">
        <f>BestPickByRoundNumber(6,8,FALSE)</f>
        <v>Tim picking Doug Baldwin with a -89 diff.</v>
      </c>
    </row>
    <row r="8" spans="1:20" ht="21" customHeight="1" x14ac:dyDescent="0.25">
      <c r="A8" s="48" t="s">
        <v>213</v>
      </c>
      <c r="B8" s="34" t="str">
        <f>GetExtremeValueAcrossAllSheets(C31,FALSE, FALSE)</f>
        <v xml:space="preserve"> at a value of 0</v>
      </c>
      <c r="C8" s="30" t="str">
        <f>GetExtremeValueAcrossAllSheets(E31,FALSE, FALSE)</f>
        <v xml:space="preserve"> at a value of 0</v>
      </c>
      <c r="E8" s="48">
        <v>5</v>
      </c>
      <c r="F8" s="30" t="str">
        <f>BestPickByRoundNumber(7,8,TRUE)</f>
        <v>Annie picking Cam Newton with a -4 diff.</v>
      </c>
      <c r="H8" s="48">
        <v>5</v>
      </c>
      <c r="I8" s="30" t="str">
        <f>BestPickByRoundNumber(7,8,FALSE)</f>
        <v>Wes picking Derrick Henry with a -29 diff.</v>
      </c>
    </row>
    <row r="9" spans="1:20" ht="21" customHeight="1" x14ac:dyDescent="0.25">
      <c r="A9" s="48" t="s">
        <v>217</v>
      </c>
      <c r="B9" s="34" t="str">
        <f>GetExtremeValueAcrossAllSheets(C33,TRUE, FALSE)</f>
        <v xml:space="preserve"> at a value of 0</v>
      </c>
      <c r="C9" s="30" t="str">
        <f>GetExtremeValueAcrossAllSheets(E33,TRUE, FALSE)</f>
        <v xml:space="preserve"> at a value of 0</v>
      </c>
      <c r="E9" s="48">
        <v>6</v>
      </c>
      <c r="F9" s="30" t="str">
        <f>BestPickByRoundNumber(8,8,TRUE)</f>
        <v>Alie picking Marshawn Lynch with a 2 diff.</v>
      </c>
      <c r="H9" s="48">
        <v>6</v>
      </c>
      <c r="I9" s="30" t="str">
        <f>BestPickByRoundNumber(8,8,FALSE)</f>
        <v>Jake picking Josh Gordon with a -38 diff.</v>
      </c>
    </row>
    <row r="10" spans="1:20" ht="21" customHeight="1" x14ac:dyDescent="0.25">
      <c r="A10" s="48" t="s">
        <v>218</v>
      </c>
      <c r="B10" s="34" t="str">
        <f>GetExtremeValueAcrossAllSheets(C33,FALSE, FALSE)</f>
        <v xml:space="preserve"> at a value of 0</v>
      </c>
      <c r="C10" s="30" t="str">
        <f>GetExtremeValueAcrossAllSheets(E33,FALSE, FALSE)</f>
        <v xml:space="preserve"> at a value of 0</v>
      </c>
      <c r="E10" s="48">
        <v>7</v>
      </c>
      <c r="F10" s="30" t="str">
        <f>BestPickByRoundNumber(9,8,TRUE)</f>
        <v>Paul picking Robert Woods with a 18 diff.</v>
      </c>
      <c r="H10" s="48">
        <v>7</v>
      </c>
      <c r="I10" s="30" t="str">
        <f>BestPickByRoundNumber(9,8,FALSE)</f>
        <v>Tim picking Delanie Walker with a -59 diff.</v>
      </c>
    </row>
    <row r="11" spans="1:20" ht="21" customHeight="1" x14ac:dyDescent="0.25">
      <c r="A11" s="48" t="s">
        <v>219</v>
      </c>
      <c r="B11" s="34" t="str">
        <f>GetExtremeValueAcrossAllSheets(C35,TRUE, TRUE)</f>
        <v xml:space="preserve"> at a value of -100000</v>
      </c>
      <c r="C11" s="30" t="str">
        <f>GetExtremeValueAcrossAllSheets(E35,TRUE, TRUE)</f>
        <v xml:space="preserve"> at a value of -100000</v>
      </c>
      <c r="E11" s="48">
        <v>8</v>
      </c>
      <c r="F11" s="30" t="str">
        <f>BestPickByRoundNumber(10,8,TRUE)</f>
        <v>Tim picking Emmanual Sanders with a 27 diff.</v>
      </c>
      <c r="H11" s="48">
        <v>8</v>
      </c>
      <c r="I11" s="30" t="str">
        <f>BestPickByRoundNumber(10,8,FALSE)</f>
        <v>Annie picking Randall Cobb with a -45 diff.</v>
      </c>
    </row>
    <row r="12" spans="1:20" ht="21" customHeight="1" x14ac:dyDescent="0.25">
      <c r="A12" s="48" t="s">
        <v>220</v>
      </c>
      <c r="B12" s="34" t="str">
        <f>GetExtremeValueAcrossAllSheets(C35,FALSE, TRUE)</f>
        <v xml:space="preserve"> at a value of 100000</v>
      </c>
      <c r="C12" s="30" t="str">
        <f>GetExtremeValueAcrossAllSheets(E35,FALSE, TRUE)</f>
        <v xml:space="preserve"> at a value of 100000</v>
      </c>
      <c r="E12" s="48">
        <v>9</v>
      </c>
      <c r="F12" s="30" t="str">
        <f>BestPickByRoundNumber(11,8,TRUE)</f>
        <v>Anthony picking Cooper Kupp with a 25 diff.</v>
      </c>
      <c r="H12" s="48">
        <v>9</v>
      </c>
      <c r="I12" s="30" t="str">
        <f>BestPickByRoundNumber(11,8,FALSE)</f>
        <v>Sheila picking Jamison Crowder with a -55 diff.</v>
      </c>
    </row>
    <row r="13" spans="1:20" ht="21" customHeight="1" x14ac:dyDescent="0.25">
      <c r="A13" s="48" t="s">
        <v>221</v>
      </c>
      <c r="B13" s="34" t="str">
        <f>GetExtremeValueAcrossAllSheetsInColumnWithColumn(8,2,TRUE, FALSE)</f>
        <v>Anthony at a value of 38. Pick: Calvin Ridley</v>
      </c>
      <c r="C13" s="30" t="str">
        <f>GetExtremeValueAcrossAllSheetsInColumnWithColumn(9,2,TRUE, FALSE)</f>
        <v>Sheila at a value of 43. Pick: Hou D/ST</v>
      </c>
      <c r="E13" s="48">
        <v>10</v>
      </c>
      <c r="F13" s="30" t="str">
        <f>BestPickByRoundNumber(12,8,TRUE)</f>
        <v>Sheila picking Carlos Hyde with a 15 diff.</v>
      </c>
      <c r="H13" s="48">
        <v>10</v>
      </c>
      <c r="I13" s="30" t="str">
        <f>BestPickByRoundNumber(12,8,FALSE)</f>
        <v>Tim picking Ronald Jones II with a -34 diff.</v>
      </c>
    </row>
    <row r="14" spans="1:20" ht="21" customHeight="1" x14ac:dyDescent="0.25">
      <c r="A14" s="48" t="s">
        <v>222</v>
      </c>
      <c r="B14" s="34" t="str">
        <f>GetExtremeValueAcrossAllSheetsInColumnWithColumn(8,2,FALSE, FALSE)</f>
        <v>Colin at a value of -122. Pick: Marqise Lee</v>
      </c>
      <c r="C14" s="30" t="str">
        <f>GetExtremeValueAcrossAllSheetsInColumnWithColumn(9,2,FALSE, FALSE)</f>
        <v>Colin at a value of -242. Pick: Greg Zuerlein</v>
      </c>
      <c r="E14" s="48">
        <v>11</v>
      </c>
      <c r="F14" s="30" t="str">
        <f>BestPickByRoundNumber(13,8,TRUE)</f>
        <v>Alie picking James White with a 32 diff.</v>
      </c>
      <c r="H14" s="48">
        <v>11</v>
      </c>
      <c r="I14" s="30" t="str">
        <f>BestPickByRoundNumber(13,8,FALSE)</f>
        <v>Annie picking Pierre Garcon with a -40 diff.</v>
      </c>
    </row>
    <row r="15" spans="1:20" ht="21" customHeight="1" x14ac:dyDescent="0.25">
      <c r="A15" s="48" t="s">
        <v>211</v>
      </c>
      <c r="B15" s="30" t="str">
        <f>GetExtremeValueAcrossAllSheets(C23,TRUE, FALSE)</f>
        <v>Alie at a value of 11</v>
      </c>
      <c r="C15" s="51"/>
      <c r="E15" s="48">
        <v>12</v>
      </c>
      <c r="F15" s="30" t="str">
        <f>BestPickByRoundNumber(14,8,TRUE)</f>
        <v>Devon picking Sterling Shepard with a 23 diff.</v>
      </c>
      <c r="H15" s="48">
        <v>12</v>
      </c>
      <c r="I15" s="30" t="str">
        <f>BestPickByRoundNumber(14,8,FALSE)</f>
        <v>Tim picking Kelvin Benjamin with a -29 diff.</v>
      </c>
    </row>
    <row r="16" spans="1:20" ht="21" customHeight="1" x14ac:dyDescent="0.25">
      <c r="A16" s="48" t="s">
        <v>212</v>
      </c>
      <c r="B16" s="30" t="str">
        <f>GetExtremeValueAcrossAllSheets(C23,FALSE, FALSE)</f>
        <v>Annie at a value of 7</v>
      </c>
      <c r="C16" s="51"/>
      <c r="E16" s="48">
        <v>13</v>
      </c>
      <c r="F16" s="30" t="str">
        <f>BestPickByRoundNumber(15,8,TRUE)</f>
        <v>Colin picking Adrian Peterson with a 31 diff.</v>
      </c>
      <c r="H16" s="48">
        <v>13</v>
      </c>
      <c r="I16" s="30" t="str">
        <f>BestPickByRoundNumber(15,8,FALSE)</f>
        <v>Wes picking Devante Parker with a -88 diff.</v>
      </c>
    </row>
    <row r="17" spans="1:9" ht="21" customHeight="1" x14ac:dyDescent="0.25">
      <c r="A17" s="50"/>
      <c r="B17" s="34"/>
      <c r="C17" s="30"/>
      <c r="E17" s="48">
        <v>14</v>
      </c>
      <c r="F17" s="30" t="str">
        <f>BestPickByRoundNumber(16,8,TRUE)</f>
        <v>Devon picking Bilal Powell with a 15 diff.</v>
      </c>
      <c r="H17" s="48">
        <v>14</v>
      </c>
      <c r="I17" s="30" t="str">
        <f>BestPickByRoundNumber(16,8,FALSE)</f>
        <v>Colin picking Marqise Lee with a -122 diff.</v>
      </c>
    </row>
    <row r="18" spans="1:9" ht="21" customHeight="1" x14ac:dyDescent="0.25">
      <c r="A18" s="50"/>
      <c r="B18" s="34"/>
      <c r="C18" s="30"/>
      <c r="E18" s="48">
        <v>15</v>
      </c>
      <c r="F18" s="30" t="str">
        <f>BestPickByRoundNumber(17,8,TRUE)</f>
        <v>Anthony picking Calvin Ridley with a 38 diff.</v>
      </c>
      <c r="H18" s="48">
        <v>15</v>
      </c>
      <c r="I18" s="30" t="str">
        <f>BestPickByRoundNumber(17,8,FALSE)</f>
        <v>Colin picking DJ Moore with a -31 diff.</v>
      </c>
    </row>
    <row r="19" spans="1:9" ht="21" customHeight="1" x14ac:dyDescent="0.25">
      <c r="A19" s="50"/>
      <c r="B19" s="34"/>
      <c r="C19" s="30"/>
      <c r="E19" s="48">
        <v>16</v>
      </c>
      <c r="F19" s="30" t="str">
        <f>BestPickByRoundNumber(18,8,TRUE)</f>
        <v>Colin picking Latavius Murray with a 24 diff.</v>
      </c>
      <c r="H19" s="48">
        <v>16</v>
      </c>
      <c r="I19" s="30" t="str">
        <f>BestPickByRoundNumber(18,8,FALSE)</f>
        <v>Jake picking Mike Wallace with a -113 diff.</v>
      </c>
    </row>
    <row r="20" spans="1:9" ht="21" customHeight="1" x14ac:dyDescent="0.25">
      <c r="B20" s="34"/>
      <c r="C20" s="30"/>
      <c r="F20" s="30"/>
    </row>
    <row r="21" spans="1:9" ht="21" customHeight="1" x14ac:dyDescent="0.25">
      <c r="B21" s="34"/>
      <c r="C21" s="30"/>
      <c r="F21" s="30"/>
    </row>
    <row r="22" spans="1:9" ht="21" customHeight="1" x14ac:dyDescent="0.25">
      <c r="B22" s="34"/>
      <c r="C22" s="30"/>
      <c r="F22" s="30"/>
    </row>
    <row r="23" spans="1:9" ht="21" customHeight="1" x14ac:dyDescent="0.25">
      <c r="B23" s="34"/>
      <c r="C23" s="30"/>
      <c r="F23" s="30"/>
    </row>
    <row r="24" spans="1:9" ht="21" customHeight="1" x14ac:dyDescent="0.25">
      <c r="B24" s="34"/>
      <c r="C24" s="30"/>
      <c r="F24" s="30"/>
    </row>
    <row r="25" spans="1:9" ht="21" customHeight="1" x14ac:dyDescent="0.25">
      <c r="B25" s="34"/>
      <c r="C25" s="30"/>
      <c r="F25" s="30"/>
    </row>
    <row r="26" spans="1:9" ht="21" customHeight="1" x14ac:dyDescent="0.25">
      <c r="B26" s="34"/>
      <c r="C26" s="30"/>
      <c r="F26" s="30"/>
    </row>
    <row r="27" spans="1:9" ht="21" customHeight="1" x14ac:dyDescent="0.25">
      <c r="B27" s="34"/>
      <c r="C27" s="30"/>
      <c r="F27" s="30"/>
    </row>
    <row r="28" spans="1:9" ht="21" customHeight="1" x14ac:dyDescent="0.25">
      <c r="B28" s="34"/>
      <c r="C28" s="30"/>
      <c r="F28" s="30"/>
    </row>
    <row r="29" spans="1:9" ht="21" customHeight="1" x14ac:dyDescent="0.25">
      <c r="B29" s="34"/>
      <c r="C29" s="30"/>
      <c r="F29" s="30"/>
    </row>
    <row r="30" spans="1:9" ht="21" customHeight="1" x14ac:dyDescent="0.25">
      <c r="B30" s="34"/>
      <c r="C30" s="30"/>
      <c r="F30" s="30"/>
    </row>
    <row r="31" spans="1:9" ht="21" customHeight="1" x14ac:dyDescent="0.25">
      <c r="B31" s="34"/>
      <c r="C31" s="30"/>
      <c r="F31" s="30"/>
    </row>
    <row r="32" spans="1:9" ht="21" customHeight="1" x14ac:dyDescent="0.25">
      <c r="B32" s="34"/>
      <c r="C32" s="30"/>
      <c r="F32" s="30"/>
    </row>
    <row r="33" spans="2:6" ht="21" customHeight="1" x14ac:dyDescent="0.25">
      <c r="B33" s="34"/>
      <c r="C33" s="30"/>
      <c r="F33" s="30"/>
    </row>
    <row r="34" spans="2:6" ht="21" customHeight="1" x14ac:dyDescent="0.25">
      <c r="B34" s="34"/>
      <c r="C34" s="30"/>
      <c r="F34" s="30"/>
    </row>
    <row r="35" spans="2:6" ht="21" customHeight="1" x14ac:dyDescent="0.25">
      <c r="B35" s="34"/>
      <c r="C35" s="30"/>
      <c r="F35" s="30"/>
    </row>
    <row r="36" spans="2:6" ht="21" customHeight="1" x14ac:dyDescent="0.25">
      <c r="B36" s="34"/>
      <c r="C36" s="30"/>
      <c r="F36" s="30"/>
    </row>
    <row r="37" spans="2:6" ht="21" customHeight="1" x14ac:dyDescent="0.25">
      <c r="B37" s="34"/>
      <c r="C37" s="30"/>
      <c r="F37" s="30"/>
    </row>
    <row r="38" spans="2:6" ht="21" customHeight="1" x14ac:dyDescent="0.25">
      <c r="B38" s="34"/>
      <c r="C38" s="30"/>
      <c r="F38" s="30"/>
    </row>
    <row r="39" spans="2:6" ht="21" customHeight="1" x14ac:dyDescent="0.25">
      <c r="B39" s="34"/>
      <c r="C39" s="30"/>
      <c r="F39" s="30"/>
    </row>
    <row r="40" spans="2:6" ht="21" customHeight="1" x14ac:dyDescent="0.25">
      <c r="B40" s="34"/>
      <c r="C40" s="30"/>
      <c r="F40" s="30"/>
    </row>
    <row r="41" spans="2:6" ht="21" customHeight="1" x14ac:dyDescent="0.25">
      <c r="B41" s="34"/>
      <c r="C41" s="30"/>
      <c r="F41" s="30"/>
    </row>
    <row r="42" spans="2:6" ht="21" customHeight="1" x14ac:dyDescent="0.25">
      <c r="B42" s="34"/>
      <c r="C42" s="30"/>
      <c r="F42" s="30"/>
    </row>
    <row r="43" spans="2:6" ht="21" customHeight="1" x14ac:dyDescent="0.25">
      <c r="B43" s="34"/>
      <c r="C43" s="30"/>
    </row>
    <row r="44" spans="2:6" ht="21" customHeight="1" x14ac:dyDescent="0.25">
      <c r="B44" s="34"/>
      <c r="C44" s="30"/>
    </row>
    <row r="45" spans="2:6" ht="21" customHeight="1" x14ac:dyDescent="0.25">
      <c r="B45" s="34"/>
      <c r="C45" s="30"/>
    </row>
    <row r="46" spans="2:6" ht="21" customHeight="1" x14ac:dyDescent="0.25">
      <c r="B46" s="34"/>
      <c r="C46" s="30"/>
    </row>
    <row r="47" spans="2:6" ht="21" customHeight="1" x14ac:dyDescent="0.25">
      <c r="B47" s="34"/>
      <c r="C47" s="30"/>
    </row>
    <row r="48" spans="2:6" ht="21" customHeight="1" x14ac:dyDescent="0.25"/>
    <row r="49" ht="21" customHeight="1" x14ac:dyDescent="0.25"/>
    <row r="50" ht="21" customHeight="1" x14ac:dyDescent="0.25"/>
    <row r="51" ht="21" customHeight="1" x14ac:dyDescent="0.25"/>
  </sheetData>
  <mergeCells count="4">
    <mergeCell ref="B3:C3"/>
    <mergeCell ref="A1:I1"/>
    <mergeCell ref="E3:F3"/>
    <mergeCell ref="H3:I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Annie</vt:lpstr>
      <vt:lpstr>Alie</vt:lpstr>
      <vt:lpstr>Tim</vt:lpstr>
      <vt:lpstr>Paul</vt:lpstr>
      <vt:lpstr>Wes</vt:lpstr>
      <vt:lpstr>Anthony</vt:lpstr>
      <vt:lpstr>Jake</vt:lpstr>
      <vt:lpstr>Devon</vt:lpstr>
      <vt:lpstr>Sheila</vt:lpstr>
      <vt:lpstr>Colin</vt:lpstr>
      <vt:lpstr>Stat Sheet</vt:lpstr>
    </vt:vector>
  </TitlesOfParts>
  <Company>BTS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Frick, Tim</dc:creator>
  <cp:lastModifiedBy>Frick, Tim</cp:lastModifiedBy>
  <dcterms:created xsi:type="dcterms:W3CDTF">2018-10-24T15:07:54Z</dcterms:created>
  <dcterms:modified xsi:type="dcterms:W3CDTF">2018-11-21T17:04:01Z</dcterms:modified>
</cp:coreProperties>
</file>