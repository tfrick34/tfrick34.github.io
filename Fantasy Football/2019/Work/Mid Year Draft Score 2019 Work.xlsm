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frick.WRBTS\Documents\GitHub\tfrick34.github.io\Fantasy Football\2019\Work\"/>
    </mc:Choice>
  </mc:AlternateContent>
  <bookViews>
    <workbookView xWindow="0" yWindow="0" windowWidth="24000" windowHeight="8775" activeTab="10"/>
  </bookViews>
  <sheets>
    <sheet name="Rosie" sheetId="8" r:id="rId1"/>
    <sheet name="Ben" sheetId="4" r:id="rId2"/>
    <sheet name="Angela" sheetId="5" r:id="rId3"/>
    <sheet name="Tim" sheetId="3" r:id="rId4"/>
    <sheet name="Anne" sheetId="2" r:id="rId5"/>
    <sheet name="Anthony" sheetId="1" r:id="rId6"/>
    <sheet name="Mike F" sheetId="9" r:id="rId7"/>
    <sheet name="Lou" sheetId="7" r:id="rId8"/>
    <sheet name="Brian" sheetId="6" r:id="rId9"/>
    <sheet name="Leo" sheetId="10" r:id="rId10"/>
    <sheet name="Stat Sheet" sheetId="11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0" l="1"/>
  <c r="D8" i="10" s="1"/>
  <c r="D10" i="10" s="1"/>
  <c r="D12" i="10" s="1"/>
  <c r="D14" i="10" s="1"/>
  <c r="D16" i="10" s="1"/>
  <c r="D18" i="10" s="1"/>
  <c r="D5" i="10"/>
  <c r="D7" i="10" s="1"/>
  <c r="D9" i="10" s="1"/>
  <c r="D11" i="10" s="1"/>
  <c r="D13" i="10" s="1"/>
  <c r="D15" i="10" s="1"/>
  <c r="D17" i="10" s="1"/>
  <c r="D6" i="6"/>
  <c r="D8" i="6" s="1"/>
  <c r="D10" i="6" s="1"/>
  <c r="D12" i="6" s="1"/>
  <c r="D14" i="6" s="1"/>
  <c r="D16" i="6" s="1"/>
  <c r="D18" i="6" s="1"/>
  <c r="D5" i="6"/>
  <c r="D7" i="6" s="1"/>
  <c r="D9" i="6" s="1"/>
  <c r="D11" i="6" s="1"/>
  <c r="D13" i="6" s="1"/>
  <c r="D15" i="6" s="1"/>
  <c r="D17" i="6" s="1"/>
  <c r="D6" i="7"/>
  <c r="D8" i="7" s="1"/>
  <c r="D10" i="7" s="1"/>
  <c r="D12" i="7" s="1"/>
  <c r="D14" i="7" s="1"/>
  <c r="D16" i="7" s="1"/>
  <c r="D18" i="7" s="1"/>
  <c r="D5" i="7"/>
  <c r="D7" i="7" s="1"/>
  <c r="D9" i="7" s="1"/>
  <c r="D11" i="7" s="1"/>
  <c r="D13" i="7" s="1"/>
  <c r="D15" i="7" s="1"/>
  <c r="D17" i="7" s="1"/>
  <c r="D6" i="9"/>
  <c r="D8" i="9" s="1"/>
  <c r="D10" i="9" s="1"/>
  <c r="D12" i="9" s="1"/>
  <c r="D14" i="9" s="1"/>
  <c r="D16" i="9" s="1"/>
  <c r="D18" i="9" s="1"/>
  <c r="D5" i="9"/>
  <c r="D7" i="9" s="1"/>
  <c r="D9" i="9" s="1"/>
  <c r="D11" i="9" s="1"/>
  <c r="D13" i="9" s="1"/>
  <c r="D15" i="9" s="1"/>
  <c r="D17" i="9" s="1"/>
  <c r="D6" i="1"/>
  <c r="D8" i="1" s="1"/>
  <c r="D10" i="1" s="1"/>
  <c r="D12" i="1" s="1"/>
  <c r="D14" i="1" s="1"/>
  <c r="D16" i="1" s="1"/>
  <c r="D18" i="1" s="1"/>
  <c r="D5" i="1"/>
  <c r="D7" i="1" s="1"/>
  <c r="D9" i="1" s="1"/>
  <c r="D11" i="1" s="1"/>
  <c r="D13" i="1" s="1"/>
  <c r="D15" i="1" s="1"/>
  <c r="D17" i="1" s="1"/>
  <c r="D6" i="2"/>
  <c r="D8" i="2" s="1"/>
  <c r="D10" i="2" s="1"/>
  <c r="D12" i="2" s="1"/>
  <c r="D14" i="2" s="1"/>
  <c r="D16" i="2" s="1"/>
  <c r="D18" i="2" s="1"/>
  <c r="D5" i="2"/>
  <c r="D7" i="2" s="1"/>
  <c r="D9" i="2" s="1"/>
  <c r="D11" i="2" s="1"/>
  <c r="D13" i="2" s="1"/>
  <c r="D15" i="2" s="1"/>
  <c r="D17" i="2" s="1"/>
  <c r="D6" i="3"/>
  <c r="D8" i="3" s="1"/>
  <c r="D10" i="3" s="1"/>
  <c r="D12" i="3" s="1"/>
  <c r="D14" i="3" s="1"/>
  <c r="D16" i="3" s="1"/>
  <c r="D18" i="3" s="1"/>
  <c r="D5" i="3"/>
  <c r="D7" i="3" s="1"/>
  <c r="D9" i="3" s="1"/>
  <c r="D11" i="3" s="1"/>
  <c r="D13" i="3" s="1"/>
  <c r="D15" i="3" s="1"/>
  <c r="D17" i="3" s="1"/>
  <c r="D6" i="5"/>
  <c r="D8" i="5" s="1"/>
  <c r="D10" i="5" s="1"/>
  <c r="D12" i="5" s="1"/>
  <c r="D14" i="5" s="1"/>
  <c r="D16" i="5" s="1"/>
  <c r="D18" i="5" s="1"/>
  <c r="D5" i="5"/>
  <c r="D7" i="5" s="1"/>
  <c r="D9" i="5" s="1"/>
  <c r="D11" i="5" s="1"/>
  <c r="D13" i="5" s="1"/>
  <c r="D15" i="5" s="1"/>
  <c r="D17" i="5" s="1"/>
  <c r="D5" i="4"/>
  <c r="C5" i="11"/>
  <c r="B5" i="11"/>
  <c r="L6" i="6"/>
  <c r="L6" i="4"/>
  <c r="L6" i="7"/>
  <c r="L6" i="8"/>
  <c r="L6" i="10"/>
  <c r="D6" i="4" l="1"/>
  <c r="D8" i="4" s="1"/>
  <c r="D10" i="4" s="1"/>
  <c r="D12" i="4" s="1"/>
  <c r="D14" i="4" s="1"/>
  <c r="D16" i="4" s="1"/>
  <c r="D18" i="4" s="1"/>
  <c r="D7" i="4"/>
  <c r="D9" i="4" s="1"/>
  <c r="D11" i="4" s="1"/>
  <c r="D13" i="4" s="1"/>
  <c r="D15" i="4" s="1"/>
  <c r="D17" i="4" s="1"/>
  <c r="C25" i="10" l="1"/>
  <c r="C24" i="10"/>
  <c r="C23" i="10"/>
  <c r="C25" i="9"/>
  <c r="C24" i="9"/>
  <c r="C23" i="9"/>
  <c r="C25" i="8"/>
  <c r="C24" i="8"/>
  <c r="C23" i="8"/>
  <c r="C25" i="7"/>
  <c r="C24" i="7"/>
  <c r="C23" i="7"/>
  <c r="C25" i="6"/>
  <c r="C24" i="6"/>
  <c r="C23" i="6"/>
  <c r="C25" i="5"/>
  <c r="C24" i="5"/>
  <c r="C23" i="5"/>
  <c r="C25" i="4"/>
  <c r="C24" i="4"/>
  <c r="C23" i="4"/>
  <c r="C25" i="1"/>
  <c r="C24" i="1"/>
  <c r="C23" i="1"/>
  <c r="C25" i="3"/>
  <c r="C24" i="3"/>
  <c r="C23" i="3"/>
  <c r="C25" i="2"/>
  <c r="C24" i="2"/>
  <c r="H15" i="10"/>
  <c r="I17" i="11"/>
  <c r="I13" i="11"/>
  <c r="I9" i="11"/>
  <c r="I5" i="11"/>
  <c r="B14" i="11"/>
  <c r="C6" i="11"/>
  <c r="F19" i="11"/>
  <c r="F15" i="11"/>
  <c r="F11" i="11"/>
  <c r="F7" i="11"/>
  <c r="C35" i="3"/>
  <c r="C35" i="1"/>
  <c r="C35" i="4"/>
  <c r="C35" i="8"/>
  <c r="B15" i="11"/>
  <c r="E35" i="8"/>
  <c r="I16" i="11"/>
  <c r="I12" i="11"/>
  <c r="I8" i="11"/>
  <c r="I4" i="11"/>
  <c r="B13" i="11"/>
  <c r="F18" i="11"/>
  <c r="F14" i="11"/>
  <c r="F10" i="11"/>
  <c r="F6" i="11"/>
  <c r="C35" i="9"/>
  <c r="E35" i="1"/>
  <c r="C35" i="6"/>
  <c r="C35" i="5"/>
  <c r="I18" i="11"/>
  <c r="I14" i="11"/>
  <c r="I6" i="11"/>
  <c r="C13" i="11"/>
  <c r="F16" i="11"/>
  <c r="F8" i="11"/>
  <c r="E35" i="6"/>
  <c r="I19" i="11"/>
  <c r="I15" i="11"/>
  <c r="I11" i="11"/>
  <c r="I7" i="11"/>
  <c r="B16" i="11"/>
  <c r="C14" i="11"/>
  <c r="B6" i="11"/>
  <c r="F17" i="11"/>
  <c r="F13" i="11"/>
  <c r="F9" i="11"/>
  <c r="F5" i="11"/>
  <c r="E35" i="9"/>
  <c r="E35" i="5"/>
  <c r="E35" i="4"/>
  <c r="I10" i="11"/>
  <c r="F12" i="11"/>
  <c r="F4" i="11"/>
  <c r="E35" i="3"/>
  <c r="C23" i="2" l="1"/>
  <c r="L3" i="1"/>
  <c r="L5" i="6"/>
  <c r="L5" i="1"/>
  <c r="L4" i="10"/>
  <c r="L4" i="5"/>
  <c r="L4" i="9"/>
  <c r="L6" i="3"/>
  <c r="L5" i="3"/>
  <c r="L4" i="2"/>
  <c r="L6" i="5"/>
  <c r="C35" i="2"/>
  <c r="L4" i="3"/>
  <c r="L4" i="6"/>
  <c r="L5" i="7"/>
  <c r="L5" i="9"/>
  <c r="L6" i="1"/>
  <c r="E35" i="2"/>
  <c r="L3" i="2"/>
  <c r="L3" i="4"/>
  <c r="L6" i="2"/>
  <c r="L3" i="5"/>
  <c r="L3" i="7"/>
  <c r="L5" i="5"/>
  <c r="L5" i="4"/>
  <c r="L4" i="4"/>
  <c r="L3" i="9"/>
  <c r="L4" i="1"/>
  <c r="L3" i="6"/>
  <c r="L5" i="10"/>
  <c r="L6" i="9"/>
  <c r="L5" i="2"/>
  <c r="L3" i="10"/>
  <c r="L4" i="7"/>
  <c r="L3" i="3"/>
  <c r="E36" i="9" l="1"/>
  <c r="C36" i="9"/>
  <c r="E36" i="6"/>
  <c r="C36" i="6"/>
  <c r="E36" i="5"/>
  <c r="C36" i="5"/>
  <c r="E36" i="4"/>
  <c r="C36" i="4"/>
  <c r="E36" i="1"/>
  <c r="C36" i="1"/>
  <c r="E36" i="3"/>
  <c r="C36" i="3"/>
  <c r="E36" i="2"/>
  <c r="C36" i="2"/>
  <c r="I18" i="7"/>
  <c r="H18" i="10"/>
  <c r="H17" i="10"/>
  <c r="I17" i="10" s="1"/>
  <c r="H16" i="10"/>
  <c r="I16" i="10" s="1"/>
  <c r="H14" i="10"/>
  <c r="I14" i="10" s="1"/>
  <c r="H13" i="10"/>
  <c r="I13" i="10" s="1"/>
  <c r="H12" i="10"/>
  <c r="I12" i="10" s="1"/>
  <c r="H11" i="10"/>
  <c r="H10" i="10"/>
  <c r="I10" i="10" s="1"/>
  <c r="H9" i="10"/>
  <c r="I9" i="10" s="1"/>
  <c r="H8" i="10"/>
  <c r="I8" i="10" s="1"/>
  <c r="H7" i="10"/>
  <c r="I7" i="10" s="1"/>
  <c r="H6" i="10"/>
  <c r="H5" i="10"/>
  <c r="I5" i="10" s="1"/>
  <c r="H4" i="10"/>
  <c r="H3" i="10"/>
  <c r="H18" i="9"/>
  <c r="H17" i="9"/>
  <c r="I17" i="9" s="1"/>
  <c r="H16" i="9"/>
  <c r="I16" i="9" s="1"/>
  <c r="H15" i="9"/>
  <c r="H14" i="9"/>
  <c r="I14" i="9" s="1"/>
  <c r="H13" i="9"/>
  <c r="H12" i="9"/>
  <c r="I12" i="9" s="1"/>
  <c r="H11" i="9"/>
  <c r="I11" i="9" s="1"/>
  <c r="H10" i="9"/>
  <c r="I10" i="9" s="1"/>
  <c r="H9" i="9"/>
  <c r="I9" i="9" s="1"/>
  <c r="H8" i="9"/>
  <c r="I8" i="9" s="1"/>
  <c r="H7" i="9"/>
  <c r="I7" i="9" s="1"/>
  <c r="H6" i="9"/>
  <c r="H5" i="9"/>
  <c r="I5" i="9" s="1"/>
  <c r="H4" i="9"/>
  <c r="I4" i="9" s="1"/>
  <c r="H3" i="9"/>
  <c r="L5" i="8"/>
  <c r="C28" i="10"/>
  <c r="C30" i="9"/>
  <c r="C35" i="10"/>
  <c r="C31" i="9"/>
  <c r="L4" i="8"/>
  <c r="C28" i="9"/>
  <c r="C33" i="9"/>
  <c r="C33" i="10"/>
  <c r="C29" i="9"/>
  <c r="L3" i="8"/>
  <c r="C31" i="10"/>
  <c r="C29" i="10"/>
  <c r="C30" i="10"/>
  <c r="C34" i="10" l="1"/>
  <c r="I11" i="10"/>
  <c r="C32" i="10"/>
  <c r="C36" i="10"/>
  <c r="I4" i="10"/>
  <c r="C27" i="10"/>
  <c r="C21" i="10"/>
  <c r="C22" i="10" s="1"/>
  <c r="C26" i="10"/>
  <c r="C32" i="9"/>
  <c r="C34" i="9"/>
  <c r="I13" i="9"/>
  <c r="C21" i="9"/>
  <c r="C22" i="9" s="1"/>
  <c r="C26" i="9"/>
  <c r="C27" i="9"/>
  <c r="E36" i="8"/>
  <c r="C36" i="8"/>
  <c r="I6" i="10"/>
  <c r="I18" i="10"/>
  <c r="I3" i="10"/>
  <c r="I15" i="10"/>
  <c r="I6" i="9"/>
  <c r="I18" i="9"/>
  <c r="I3" i="9"/>
  <c r="I15" i="9"/>
  <c r="E35" i="10"/>
  <c r="E31" i="9"/>
  <c r="E29" i="10"/>
  <c r="E30" i="10"/>
  <c r="E30" i="9"/>
  <c r="E28" i="9"/>
  <c r="E31" i="10"/>
  <c r="E29" i="9"/>
  <c r="E33" i="9"/>
  <c r="E33" i="10"/>
  <c r="E28" i="10"/>
  <c r="E36" i="10" l="1"/>
  <c r="E34" i="10"/>
  <c r="E27" i="10"/>
  <c r="E32" i="10"/>
  <c r="E26" i="10"/>
  <c r="E21" i="10"/>
  <c r="E22" i="10" s="1"/>
  <c r="E34" i="9"/>
  <c r="E26" i="9"/>
  <c r="E32" i="9"/>
  <c r="E27" i="9"/>
  <c r="E21" i="9"/>
  <c r="E22" i="9" s="1"/>
  <c r="H18" i="8"/>
  <c r="H17" i="8"/>
  <c r="I17" i="8" s="1"/>
  <c r="H16" i="8"/>
  <c r="I16" i="8" s="1"/>
  <c r="H15" i="8"/>
  <c r="H14" i="8"/>
  <c r="I14" i="8" s="1"/>
  <c r="H13" i="8"/>
  <c r="I13" i="8" s="1"/>
  <c r="H12" i="8"/>
  <c r="I12" i="8" s="1"/>
  <c r="H11" i="8"/>
  <c r="I11" i="8" s="1"/>
  <c r="H10" i="8"/>
  <c r="I10" i="8" s="1"/>
  <c r="H9" i="8"/>
  <c r="H8" i="8"/>
  <c r="I8" i="8" s="1"/>
  <c r="H7" i="8"/>
  <c r="I7" i="8" s="1"/>
  <c r="H6" i="8"/>
  <c r="H5" i="8"/>
  <c r="I5" i="8" s="1"/>
  <c r="H4" i="8"/>
  <c r="I4" i="8" s="1"/>
  <c r="H3" i="8"/>
  <c r="H18" i="7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H10" i="7"/>
  <c r="I10" i="7" s="1"/>
  <c r="H9" i="7"/>
  <c r="I9" i="7" s="1"/>
  <c r="H8" i="7"/>
  <c r="I8" i="7" s="1"/>
  <c r="H7" i="7"/>
  <c r="I7" i="7" s="1"/>
  <c r="H6" i="7"/>
  <c r="I6" i="7" s="1"/>
  <c r="H5" i="7"/>
  <c r="H4" i="7"/>
  <c r="I4" i="7" s="1"/>
  <c r="H3" i="7"/>
  <c r="H18" i="6"/>
  <c r="I18" i="6" s="1"/>
  <c r="H17" i="6"/>
  <c r="H16" i="6"/>
  <c r="H15" i="6"/>
  <c r="I15" i="6" s="1"/>
  <c r="H14" i="6"/>
  <c r="I14" i="6" s="1"/>
  <c r="H13" i="6"/>
  <c r="I13" i="6" s="1"/>
  <c r="H12" i="6"/>
  <c r="I12" i="6" s="1"/>
  <c r="H11" i="6"/>
  <c r="I11" i="6" s="1"/>
  <c r="H10" i="6"/>
  <c r="I10" i="6" s="1"/>
  <c r="H9" i="6"/>
  <c r="I9" i="6" s="1"/>
  <c r="H8" i="6"/>
  <c r="I8" i="6" s="1"/>
  <c r="H7" i="6"/>
  <c r="I7" i="6" s="1"/>
  <c r="H6" i="6"/>
  <c r="I6" i="6" s="1"/>
  <c r="H5" i="6"/>
  <c r="I5" i="6" s="1"/>
  <c r="H4" i="6"/>
  <c r="I4" i="6" s="1"/>
  <c r="H3" i="6"/>
  <c r="H18" i="5"/>
  <c r="I18" i="5" s="1"/>
  <c r="H17" i="5"/>
  <c r="I17" i="5" s="1"/>
  <c r="H16" i="5"/>
  <c r="I16" i="5" s="1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H6" i="5"/>
  <c r="I6" i="5" s="1"/>
  <c r="H5" i="5"/>
  <c r="I5" i="5" s="1"/>
  <c r="H4" i="5"/>
  <c r="I4" i="5" s="1"/>
  <c r="H3" i="5"/>
  <c r="C33" i="7"/>
  <c r="C28" i="7"/>
  <c r="C35" i="7"/>
  <c r="C28" i="8"/>
  <c r="C33" i="5"/>
  <c r="C29" i="6"/>
  <c r="C28" i="5"/>
  <c r="C30" i="7"/>
  <c r="C28" i="6"/>
  <c r="C29" i="7"/>
  <c r="C31" i="7"/>
  <c r="C29" i="5"/>
  <c r="C30" i="6"/>
  <c r="C31" i="6"/>
  <c r="C29" i="8"/>
  <c r="C31" i="8"/>
  <c r="C30" i="5"/>
  <c r="C33" i="8"/>
  <c r="C33" i="6"/>
  <c r="C31" i="5"/>
  <c r="C30" i="8"/>
  <c r="B12" i="11"/>
  <c r="B11" i="11"/>
  <c r="C34" i="6" l="1"/>
  <c r="C32" i="6"/>
  <c r="C26" i="6"/>
  <c r="C21" i="6"/>
  <c r="C22" i="6" s="1"/>
  <c r="C27" i="6"/>
  <c r="C34" i="7"/>
  <c r="I11" i="7"/>
  <c r="C36" i="7"/>
  <c r="I5" i="7"/>
  <c r="C32" i="7"/>
  <c r="C27" i="7"/>
  <c r="C26" i="7"/>
  <c r="C21" i="7"/>
  <c r="C22" i="7" s="1"/>
  <c r="I3" i="7"/>
  <c r="C34" i="5"/>
  <c r="I7" i="5"/>
  <c r="C32" i="5"/>
  <c r="C27" i="5"/>
  <c r="C26" i="5"/>
  <c r="C21" i="5"/>
  <c r="C22" i="5" s="1"/>
  <c r="I3" i="5"/>
  <c r="C34" i="8"/>
  <c r="I9" i="8"/>
  <c r="C32" i="8"/>
  <c r="C26" i="8"/>
  <c r="C21" i="8"/>
  <c r="C22" i="8" s="1"/>
  <c r="C27" i="8"/>
  <c r="I17" i="6"/>
  <c r="I16" i="6"/>
  <c r="I3" i="6"/>
  <c r="I15" i="8"/>
  <c r="I6" i="8"/>
  <c r="I18" i="8"/>
  <c r="I3" i="8"/>
  <c r="H18" i="4"/>
  <c r="I18" i="4" s="1"/>
  <c r="H17" i="4"/>
  <c r="I17" i="4" s="1"/>
  <c r="H16" i="4"/>
  <c r="I16" i="4" s="1"/>
  <c r="H15" i="4"/>
  <c r="I15" i="4" s="1"/>
  <c r="H14" i="4"/>
  <c r="I14" i="4" s="1"/>
  <c r="H13" i="4"/>
  <c r="I13" i="4" s="1"/>
  <c r="H12" i="4"/>
  <c r="I12" i="4" s="1"/>
  <c r="H11" i="4"/>
  <c r="I11" i="4" s="1"/>
  <c r="H10" i="4"/>
  <c r="I10" i="4" s="1"/>
  <c r="H9" i="4"/>
  <c r="H8" i="4"/>
  <c r="I8" i="4" s="1"/>
  <c r="H7" i="4"/>
  <c r="I7" i="4" s="1"/>
  <c r="H6" i="4"/>
  <c r="I6" i="4" s="1"/>
  <c r="H5" i="4"/>
  <c r="I5" i="4" s="1"/>
  <c r="H4" i="4"/>
  <c r="I4" i="4" s="1"/>
  <c r="H3" i="4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H3" i="3"/>
  <c r="H18" i="2"/>
  <c r="H17" i="2"/>
  <c r="I17" i="2" s="1"/>
  <c r="H16" i="2"/>
  <c r="I16" i="2" s="1"/>
  <c r="H15" i="2"/>
  <c r="I15" i="2" s="1"/>
  <c r="H14" i="2"/>
  <c r="H13" i="2"/>
  <c r="I13" i="2" s="1"/>
  <c r="H12" i="2"/>
  <c r="I12" i="2" s="1"/>
  <c r="H11" i="2"/>
  <c r="I11" i="2" s="1"/>
  <c r="H10" i="2"/>
  <c r="I10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H4" i="1"/>
  <c r="I4" i="1" s="1"/>
  <c r="H5" i="1"/>
  <c r="I5" i="1" s="1"/>
  <c r="H6" i="1"/>
  <c r="I6" i="1" s="1"/>
  <c r="H7" i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3" i="1"/>
  <c r="E28" i="7"/>
  <c r="C33" i="4"/>
  <c r="E29" i="5"/>
  <c r="C31" i="4"/>
  <c r="C33" i="1"/>
  <c r="C28" i="4"/>
  <c r="E30" i="5"/>
  <c r="C31" i="1"/>
  <c r="C28" i="2"/>
  <c r="E29" i="6"/>
  <c r="E30" i="8"/>
  <c r="E29" i="7"/>
  <c r="E31" i="7"/>
  <c r="C30" i="1"/>
  <c r="C30" i="3"/>
  <c r="C33" i="2"/>
  <c r="E29" i="8"/>
  <c r="C29" i="1"/>
  <c r="C33" i="3"/>
  <c r="E33" i="6"/>
  <c r="C29" i="2"/>
  <c r="C29" i="4"/>
  <c r="C30" i="2"/>
  <c r="C31" i="3"/>
  <c r="E30" i="6"/>
  <c r="E31" i="6"/>
  <c r="E28" i="5"/>
  <c r="E31" i="8"/>
  <c r="E35" i="7"/>
  <c r="E30" i="7"/>
  <c r="E31" i="5"/>
  <c r="E28" i="8"/>
  <c r="E28" i="6"/>
  <c r="E33" i="8"/>
  <c r="E33" i="7"/>
  <c r="E33" i="5"/>
  <c r="C28" i="1"/>
  <c r="C29" i="3"/>
  <c r="C30" i="4"/>
  <c r="C31" i="2"/>
  <c r="C28" i="3"/>
  <c r="B9" i="11"/>
  <c r="B10" i="11"/>
  <c r="C11" i="11"/>
  <c r="C12" i="11"/>
  <c r="B8" i="11"/>
  <c r="B7" i="11"/>
  <c r="E34" i="6" l="1"/>
  <c r="E32" i="6"/>
  <c r="E21" i="6"/>
  <c r="E22" i="6" s="1"/>
  <c r="E26" i="6"/>
  <c r="E27" i="6"/>
  <c r="E34" i="7"/>
  <c r="E36" i="7"/>
  <c r="E32" i="7"/>
  <c r="E21" i="7"/>
  <c r="E22" i="7" s="1"/>
  <c r="E26" i="7"/>
  <c r="E27" i="7"/>
  <c r="C34" i="1"/>
  <c r="I7" i="1"/>
  <c r="C32" i="1"/>
  <c r="C21" i="1"/>
  <c r="C22" i="1" s="1"/>
  <c r="C27" i="1"/>
  <c r="C26" i="1"/>
  <c r="I3" i="1"/>
  <c r="C34" i="3"/>
  <c r="I4" i="3"/>
  <c r="C32" i="3"/>
  <c r="C27" i="3"/>
  <c r="C26" i="3"/>
  <c r="C21" i="3"/>
  <c r="C22" i="3" s="1"/>
  <c r="I3" i="3"/>
  <c r="E34" i="5"/>
  <c r="E32" i="5"/>
  <c r="E26" i="5"/>
  <c r="E21" i="5"/>
  <c r="E22" i="5" s="1"/>
  <c r="E27" i="5"/>
  <c r="C34" i="4"/>
  <c r="I9" i="4"/>
  <c r="C32" i="4"/>
  <c r="C26" i="4"/>
  <c r="C21" i="4"/>
  <c r="C22" i="4" s="1"/>
  <c r="C27" i="4"/>
  <c r="I3" i="4"/>
  <c r="E34" i="8"/>
  <c r="E32" i="8"/>
  <c r="E21" i="8"/>
  <c r="E22" i="8" s="1"/>
  <c r="E26" i="8"/>
  <c r="E27" i="8"/>
  <c r="C34" i="2"/>
  <c r="C32" i="2"/>
  <c r="I18" i="2"/>
  <c r="C27" i="2"/>
  <c r="C26" i="2"/>
  <c r="C21" i="2"/>
  <c r="I3" i="2"/>
  <c r="I14" i="2"/>
  <c r="E30" i="2"/>
  <c r="E31" i="4"/>
  <c r="E31" i="2"/>
  <c r="E29" i="1"/>
  <c r="E33" i="2"/>
  <c r="E33" i="1"/>
  <c r="E28" i="4"/>
  <c r="E31" i="1"/>
  <c r="E28" i="1"/>
  <c r="E30" i="1"/>
  <c r="E29" i="2"/>
  <c r="E29" i="3"/>
  <c r="E30" i="3"/>
  <c r="E30" i="4"/>
  <c r="E33" i="3"/>
  <c r="E31" i="3"/>
  <c r="E28" i="2"/>
  <c r="E33" i="4"/>
  <c r="C10" i="11" s="1"/>
  <c r="E28" i="3"/>
  <c r="E29" i="4"/>
  <c r="C7" i="11"/>
  <c r="C8" i="11"/>
  <c r="E34" i="1" l="1"/>
  <c r="E32" i="1"/>
  <c r="E27" i="1"/>
  <c r="E21" i="1"/>
  <c r="E22" i="1" s="1"/>
  <c r="E26" i="1"/>
  <c r="E34" i="3"/>
  <c r="E32" i="3"/>
  <c r="E26" i="3"/>
  <c r="E27" i="3"/>
  <c r="E21" i="3"/>
  <c r="E22" i="3" s="1"/>
  <c r="E34" i="4"/>
  <c r="E32" i="4"/>
  <c r="E27" i="4"/>
  <c r="E21" i="4"/>
  <c r="E22" i="4" s="1"/>
  <c r="E26" i="4"/>
  <c r="C22" i="2"/>
  <c r="E32" i="2"/>
  <c r="E34" i="2"/>
  <c r="E21" i="2"/>
  <c r="E22" i="2" s="1"/>
  <c r="E26" i="2"/>
  <c r="E27" i="2"/>
  <c r="C9" i="11"/>
</calcChain>
</file>

<file path=xl/sharedStrings.xml><?xml version="1.0" encoding="utf-8"?>
<sst xmlns="http://schemas.openxmlformats.org/spreadsheetml/2006/main" count="678" uniqueCount="204">
  <si>
    <t>Team Pick Number</t>
  </si>
  <si>
    <t>Player Name</t>
  </si>
  <si>
    <t>Overall Pick Number</t>
  </si>
  <si>
    <t>Overall Position Pick Number</t>
  </si>
  <si>
    <t>Todd Gurley</t>
  </si>
  <si>
    <t>Kenyan Drake</t>
  </si>
  <si>
    <t>Delanie Walker</t>
  </si>
  <si>
    <t>Will Fuller</t>
  </si>
  <si>
    <t>Andrew Luck</t>
  </si>
  <si>
    <t>Jake Elliot</t>
  </si>
  <si>
    <t xml:space="preserve">Week 7 Position Rank </t>
  </si>
  <si>
    <t>Draft Differential</t>
  </si>
  <si>
    <t>Total Draft Differential:</t>
  </si>
  <si>
    <t>Average Differential:</t>
  </si>
  <si>
    <t>Best Draft:</t>
  </si>
  <si>
    <t>Player Name Key</t>
  </si>
  <si>
    <t>Still on roster</t>
  </si>
  <si>
    <t>IR</t>
  </si>
  <si>
    <t>Dropped</t>
  </si>
  <si>
    <t>Traded</t>
  </si>
  <si>
    <t>Le'Veon Bell</t>
  </si>
  <si>
    <t>Travis Kelce</t>
  </si>
  <si>
    <t>Robby Anderson</t>
  </si>
  <si>
    <t>Count</t>
  </si>
  <si>
    <t>Worst Draft (Overall):</t>
  </si>
  <si>
    <t>Worst Draft Not on IR:</t>
  </si>
  <si>
    <t>JuJu Smith-Schuster</t>
  </si>
  <si>
    <t>Peyton Barber</t>
  </si>
  <si>
    <t>Ezekiel Elliot</t>
  </si>
  <si>
    <t>Tom Brady</t>
  </si>
  <si>
    <t>Robert Woods</t>
  </si>
  <si>
    <t>Julian Edelman</t>
  </si>
  <si>
    <t>Chris Carson</t>
  </si>
  <si>
    <t>Total Current Differential:</t>
  </si>
  <si>
    <t>Total Dropped Differntial:</t>
  </si>
  <si>
    <t>Average Dropped Differential:</t>
  </si>
  <si>
    <t>Total Traded Differential:</t>
  </si>
  <si>
    <t>Average Current Differential:</t>
  </si>
  <si>
    <t>Average Traded Differential:</t>
  </si>
  <si>
    <t>Mike Evans</t>
  </si>
  <si>
    <t>Amari Cooper</t>
  </si>
  <si>
    <t>Sony Michel</t>
  </si>
  <si>
    <t>Tevin Coleman</t>
  </si>
  <si>
    <t>Alvin Kamara</t>
  </si>
  <si>
    <t>Stefon Diggs</t>
  </si>
  <si>
    <t>Golden Tate</t>
  </si>
  <si>
    <t>Alshon Jeffery</t>
  </si>
  <si>
    <t>Royce Freeman</t>
  </si>
  <si>
    <t>Tarik Cohen</t>
  </si>
  <si>
    <t>Matt Ryan</t>
  </si>
  <si>
    <t>Calvin Ridley</t>
  </si>
  <si>
    <t>Leonard Fournette</t>
  </si>
  <si>
    <t>DeAndre Hopkins</t>
  </si>
  <si>
    <t>Tyreek Hill</t>
  </si>
  <si>
    <t>Mark Ingram</t>
  </si>
  <si>
    <t>Josh Gordon</t>
  </si>
  <si>
    <t>Marlon Mack</t>
  </si>
  <si>
    <t>George Kittle</t>
  </si>
  <si>
    <t>Austin Hooper</t>
  </si>
  <si>
    <t>Adam Thielen</t>
  </si>
  <si>
    <t>Joe Mixon</t>
  </si>
  <si>
    <t>Kenny Stills</t>
  </si>
  <si>
    <t>Kareem Hunt</t>
  </si>
  <si>
    <t>Larry Fitzgerald</t>
  </si>
  <si>
    <t>Jordan Howard</t>
  </si>
  <si>
    <t>Brandon Cooks</t>
  </si>
  <si>
    <t>Dion Lewis</t>
  </si>
  <si>
    <t>Greg Zuerlein</t>
  </si>
  <si>
    <t>Jimmy Garoppolo</t>
  </si>
  <si>
    <t>Latavius Murray</t>
  </si>
  <si>
    <t>Cam Newton</t>
  </si>
  <si>
    <t>Position</t>
  </si>
  <si>
    <t>RB</t>
  </si>
  <si>
    <t>TE</t>
  </si>
  <si>
    <t>WR</t>
  </si>
  <si>
    <t>QB</t>
  </si>
  <si>
    <t>K</t>
  </si>
  <si>
    <t>D/ST</t>
  </si>
  <si>
    <t>Weighted Differential</t>
  </si>
  <si>
    <t>Raw</t>
  </si>
  <si>
    <t>Weighted</t>
  </si>
  <si>
    <t>Could have had instead:</t>
  </si>
  <si>
    <t>Average Points</t>
  </si>
  <si>
    <t>Could have had at same position:</t>
  </si>
  <si>
    <t>Average Points:</t>
  </si>
  <si>
    <t>Best Scorer:</t>
  </si>
  <si>
    <t>Worst Scorer:</t>
  </si>
  <si>
    <t>Tim</t>
  </si>
  <si>
    <t>Anthony</t>
  </si>
  <si>
    <t>Differential</t>
  </si>
  <si>
    <t>2018 Mid Year Draft Report That No One Asked For</t>
  </si>
  <si>
    <t>Best Scoring Draft:</t>
  </si>
  <si>
    <t>Worst Scoring Draft:</t>
  </si>
  <si>
    <t>Lowest Diff of Players Still on the Roster:</t>
  </si>
  <si>
    <t>Highest Diff of Players Still on the Roster:</t>
  </si>
  <si>
    <t>Best Overall Draft Differential:</t>
  </si>
  <si>
    <t>Worst Overall Draft Differential:</t>
  </si>
  <si>
    <t>Highest Diff of Players Dropped (Bad Move):</t>
  </si>
  <si>
    <t>Lowest Diff of Players Dropped (Good Move):</t>
  </si>
  <si>
    <t>Highest Diff of Players Traded (Bad Move):</t>
  </si>
  <si>
    <t>Lowest Diff of Players Traded (Good Move):</t>
  </si>
  <si>
    <t>Lowest Differential of Single Pick (Good):</t>
  </si>
  <si>
    <t>Highest Differential of a Single Pick (Bad):</t>
  </si>
  <si>
    <t>Biggest Steal Per Round</t>
  </si>
  <si>
    <t>Biggest Bust Per Round</t>
  </si>
  <si>
    <t>Saquon Barkley</t>
  </si>
  <si>
    <t xml:space="preserve">Week 10 Position Rank </t>
  </si>
  <si>
    <t>Odell Backham Jr</t>
  </si>
  <si>
    <t>Trey Burten</t>
  </si>
  <si>
    <t>Dallas Goedert</t>
  </si>
  <si>
    <t>Rams D/ST</t>
  </si>
  <si>
    <t>Robbie Gould</t>
  </si>
  <si>
    <t>J.J. Arcega-Whitehead</t>
  </si>
  <si>
    <t>Patrick Mahomes</t>
  </si>
  <si>
    <t>Philip Lindsey</t>
  </si>
  <si>
    <t>Tyler Boyd</t>
  </si>
  <si>
    <t>Eric Ebron</t>
  </si>
  <si>
    <t>Courtland Sutton</t>
  </si>
  <si>
    <t>Matt Breida</t>
  </si>
  <si>
    <t>Ravens D/ST</t>
  </si>
  <si>
    <t>Mitch Trubisky</t>
  </si>
  <si>
    <t>Antonio Brown</t>
  </si>
  <si>
    <t>T.Y. Hilton</t>
  </si>
  <si>
    <t>Evan Engram</t>
  </si>
  <si>
    <t>Derrius Guice</t>
  </si>
  <si>
    <t>Miles Sanders</t>
  </si>
  <si>
    <t>Christain Kirk</t>
  </si>
  <si>
    <t>Bears D/ST</t>
  </si>
  <si>
    <t>Dante Pettis</t>
  </si>
  <si>
    <t>Stephen Goskowski</t>
  </si>
  <si>
    <t>Mark Andrews</t>
  </si>
  <si>
    <t>Albert Wilson</t>
  </si>
  <si>
    <t>Zach Ertz</t>
  </si>
  <si>
    <t>Josh Jacobs</t>
  </si>
  <si>
    <t>Tyler Lockett</t>
  </si>
  <si>
    <t>Allen Robinson</t>
  </si>
  <si>
    <t>Duke Johnson Jr.</t>
  </si>
  <si>
    <t>Donte Moncrief</t>
  </si>
  <si>
    <t>LeSean McCoy</t>
  </si>
  <si>
    <t>Tyrell Williams</t>
  </si>
  <si>
    <t>Saints D/ST</t>
  </si>
  <si>
    <t>Darwin Thompson</t>
  </si>
  <si>
    <t>Travis Benjamin</t>
  </si>
  <si>
    <t>Nick Chubb</t>
  </si>
  <si>
    <t>Damien Williams</t>
  </si>
  <si>
    <t>Aaron Rodgers</t>
  </si>
  <si>
    <t>David Montgomery</t>
  </si>
  <si>
    <t>Corey Davis</t>
  </si>
  <si>
    <t>Curtis Samuel</t>
  </si>
  <si>
    <t>Anthony Miller</t>
  </si>
  <si>
    <t>Vikings D/ST</t>
  </si>
  <si>
    <t>Kalen Ballage</t>
  </si>
  <si>
    <t xml:space="preserve">Michael Badgley </t>
  </si>
  <si>
    <t>Julio Jones</t>
  </si>
  <si>
    <t>Melvin Gordon</t>
  </si>
  <si>
    <t>Derrick Henry</t>
  </si>
  <si>
    <t>Jarvis Landry</t>
  </si>
  <si>
    <t>Russel Wilson</t>
  </si>
  <si>
    <t>James Washington</t>
  </si>
  <si>
    <t>Austin Ekeler</t>
  </si>
  <si>
    <t>DeSean Jackson</t>
  </si>
  <si>
    <t>Jags D/ST</t>
  </si>
  <si>
    <t>Harrison Butker</t>
  </si>
  <si>
    <t>Vance McDonald</t>
  </si>
  <si>
    <t>Ben Roethlisberger</t>
  </si>
  <si>
    <t>QR</t>
  </si>
  <si>
    <t>Michael Thomas</t>
  </si>
  <si>
    <t>David Johnson</t>
  </si>
  <si>
    <t>Devonta Freeman</t>
  </si>
  <si>
    <t>Kerryon Johnson</t>
  </si>
  <si>
    <t>D.J. Moore</t>
  </si>
  <si>
    <t>Carson Wetnz</t>
  </si>
  <si>
    <t>David Njoku</t>
  </si>
  <si>
    <t>Dede Westbrook</t>
  </si>
  <si>
    <t>Hunter Henry</t>
  </si>
  <si>
    <t>Emmanuel Sanders</t>
  </si>
  <si>
    <t>D.K. Metcalf</t>
  </si>
  <si>
    <t>Mohamed Sanu</t>
  </si>
  <si>
    <t>Eagles D/ST</t>
  </si>
  <si>
    <t>Craham Gano</t>
  </si>
  <si>
    <t>James Conner</t>
  </si>
  <si>
    <t>Davante Adams</t>
  </si>
  <si>
    <t>DeShauan Watson</t>
  </si>
  <si>
    <t>Marvin Jones Jr</t>
  </si>
  <si>
    <t>Lamar Miller</t>
  </si>
  <si>
    <t>Rashad Penny</t>
  </si>
  <si>
    <t>Ronald Jones</t>
  </si>
  <si>
    <t>Marques Valdes-Scantling</t>
  </si>
  <si>
    <t>Bills D/ST</t>
  </si>
  <si>
    <t>Will Lutz</t>
  </si>
  <si>
    <t>Jaylen Samuels</t>
  </si>
  <si>
    <t>Greg Olsen</t>
  </si>
  <si>
    <t>Rosie</t>
  </si>
  <si>
    <t>Ben</t>
  </si>
  <si>
    <t>Angela</t>
  </si>
  <si>
    <t>Anne</t>
  </si>
  <si>
    <t>Mike F</t>
  </si>
  <si>
    <t>Lou</t>
  </si>
  <si>
    <t>Brian</t>
  </si>
  <si>
    <t>Leo</t>
  </si>
  <si>
    <t>Trey Burton</t>
  </si>
  <si>
    <t>Keke Coutee</t>
  </si>
  <si>
    <t>Philip Rivers</t>
  </si>
  <si>
    <t>Marquise Valdes-Scantling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</si>
</sst>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0343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0" fillId="6" borderId="1" xfId="0" applyFill="1" applyBorder="1" applyAlignment="1">
      <alignment horizontal="left" vertical="center" indent="1"/>
    </xf>
    <xf numFmtId="0" fontId="0" fillId="5" borderId="1" xfId="0" applyFill="1" applyBorder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1" fillId="0" borderId="0" xfId="0" applyFont="1"/>
    <xf numFmtId="0" fontId="4" fillId="7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8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right" vertical="center"/>
    </xf>
    <xf numFmtId="0" fontId="5" fillId="5" borderId="1" xfId="0" applyFont="1" applyFill="1" applyBorder="1" applyAlignment="1">
      <alignment horizontal="left" vertical="center" indent="1"/>
    </xf>
    <xf numFmtId="0" fontId="0" fillId="6" borderId="0" xfId="0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0" fillId="8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0" fillId="2" borderId="1" xfId="0" applyFill="1" applyBorder="1" applyAlignment="1">
      <alignment horizontal="right" vertical="center"/>
    </xf>
    <xf numFmtId="164" fontId="0" fillId="3" borderId="1" xfId="0" applyNumberFormat="1" applyFill="1" applyBorder="1" applyAlignment="1">
      <alignment horizontal="left" vertical="center" indent="1"/>
    </xf>
    <xf numFmtId="0" fontId="0" fillId="0" borderId="1" xfId="0" applyFill="1" applyBorder="1" applyAlignment="1">
      <alignment horizontal="left" vertical="center" indent="1"/>
    </xf>
    <xf numFmtId="164" fontId="0" fillId="0" borderId="1" xfId="0" applyNumberFormat="1" applyFill="1" applyBorder="1" applyAlignment="1">
      <alignment horizontal="left" vertical="center" indent="1"/>
    </xf>
    <xf numFmtId="0" fontId="5" fillId="0" borderId="1" xfId="0" applyFont="1" applyFill="1" applyBorder="1" applyAlignment="1">
      <alignment horizontal="left" vertical="center" indent="1"/>
    </xf>
    <xf numFmtId="165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horizontal="right" vertical="center"/>
    </xf>
    <xf numFmtId="0" fontId="0" fillId="0" borderId="0" xfId="0" applyFill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Fill="1" applyAlignment="1">
      <alignment horizontal="left" vertical="center" inden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164" fontId="0" fillId="0" borderId="0" xfId="0" applyNumberFormat="1" applyAlignment="1">
      <alignment horizontal="left" vertical="center" indent="1"/>
    </xf>
    <xf numFmtId="0" fontId="2" fillId="7" borderId="0" xfId="0" applyFont="1" applyFill="1" applyAlignment="1">
      <alignment horizontal="right" vertical="center" indent="1"/>
    </xf>
    <xf numFmtId="0" fontId="4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left" vertical="center" indent="1"/>
    </xf>
    <xf numFmtId="164" fontId="0" fillId="0" borderId="0" xfId="0" applyNumberFormat="1" applyFill="1" applyAlignment="1">
      <alignment horizontal="right" vertical="center"/>
    </xf>
    <xf numFmtId="165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/>
    <xf numFmtId="164" fontId="0" fillId="0" borderId="0" xfId="0" applyNumberFormat="1" applyFill="1" applyAlignment="1">
      <alignment horizontal="right"/>
    </xf>
    <xf numFmtId="164" fontId="0" fillId="0" borderId="0" xfId="0" applyNumberFormat="1" applyFill="1"/>
    <xf numFmtId="0" fontId="8" fillId="0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right" vertical="center"/>
    </xf>
    <xf numFmtId="0" fontId="8" fillId="0" borderId="0" xfId="0" applyFont="1" applyFill="1" applyAlignment="1">
      <alignment vertical="center"/>
    </xf>
    <xf numFmtId="0" fontId="2" fillId="0" borderId="0" xfId="0" applyFont="1" applyFill="1" applyAlignment="1">
      <alignment horizontal="right" vertical="center"/>
    </xf>
    <xf numFmtId="0" fontId="0" fillId="9" borderId="0" xfId="0" applyFill="1" applyAlignment="1">
      <alignment horizontal="left" vertical="center" indent="1"/>
    </xf>
    <xf numFmtId="0" fontId="0" fillId="10" borderId="1" xfId="0" applyFill="1" applyBorder="1" applyAlignment="1">
      <alignment horizontal="left" vertical="center" indent="1"/>
    </xf>
    <xf numFmtId="164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165" fontId="0" fillId="0" borderId="1" xfId="0" applyNumberFormat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9" borderId="1" xfId="0" applyFill="1" applyBorder="1" applyAlignment="1">
      <alignment wrapText="1"/>
    </xf>
    <xf numFmtId="164" fontId="0" fillId="0" borderId="1" xfId="0" applyNumberFormat="1" applyBorder="1" applyAlignment="1">
      <alignment horizontal="right" vertical="center"/>
    </xf>
    <xf numFmtId="0" fontId="6" fillId="7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</cellXfs>
  <cellStyles count="1">
    <cellStyle name="Normal" xfId="0" builtinId="0"/>
  </cellStyles>
  <dxfs count="30"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E034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6"/>
  <sheetViews>
    <sheetView zoomScale="115" zoomScaleNormal="115" workbookViewId="0">
      <selection activeCell="L12" sqref="L12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28515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60" t="s">
        <v>192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106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105</v>
      </c>
      <c r="C3" s="21" t="s">
        <v>72</v>
      </c>
      <c r="D3" s="1">
        <v>1</v>
      </c>
      <c r="E3" s="1">
        <v>1</v>
      </c>
      <c r="F3" s="1">
        <v>20</v>
      </c>
      <c r="G3" s="24">
        <v>14.7</v>
      </c>
      <c r="H3" s="2">
        <f>E3-F3</f>
        <v>-19</v>
      </c>
      <c r="I3" s="2">
        <f>ROUND(IF(C3="WR", H3, IF(C3="RB", H3*1.326, IF(C3="QB", H3*3.145, IF(C3="TE", H3*3.495, IF(C3="K", H3*8.65, IF(C3="D/ST", H3*10.813, "ERROR")))))),0)</f>
        <v>-25</v>
      </c>
      <c r="K3" s="16" t="s">
        <v>16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26</v>
      </c>
      <c r="C4" s="21" t="s">
        <v>74</v>
      </c>
      <c r="D4" s="1">
        <v>20</v>
      </c>
      <c r="E4" s="1">
        <v>9</v>
      </c>
      <c r="F4" s="1">
        <v>2</v>
      </c>
      <c r="G4" s="24">
        <v>20.5</v>
      </c>
      <c r="H4" s="3">
        <f t="shared" ref="H4:H17" si="0">E4-F4</f>
        <v>7</v>
      </c>
      <c r="I4" s="3">
        <f t="shared" ref="I4:I18" si="1">ROUND(IF(C4="WR", H4, IF(C4="RB", H4*1.326, IF(C4="QB", H4*3.145, IF(C4="TE", H4*3.495, IF(C4="K", H4*8.65, IF(C4="D/ST", H4*10.813, "ERROR")))))),0)</f>
        <v>7</v>
      </c>
      <c r="K4" s="17" t="s">
        <v>18</v>
      </c>
      <c r="L4" s="11">
        <f ca="1">CountCellsByColor(B3:B18,K4)</f>
        <v>3</v>
      </c>
    </row>
    <row r="5" spans="1:13" ht="21" customHeight="1" x14ac:dyDescent="0.25">
      <c r="A5" s="7">
        <v>3</v>
      </c>
      <c r="B5" s="4" t="s">
        <v>60</v>
      </c>
      <c r="C5" s="21" t="s">
        <v>72</v>
      </c>
      <c r="D5" s="1">
        <v>21</v>
      </c>
      <c r="E5" s="1">
        <v>10</v>
      </c>
      <c r="F5" s="1">
        <v>36</v>
      </c>
      <c r="G5" s="24">
        <v>8.1999999999999993</v>
      </c>
      <c r="H5" s="3">
        <f t="shared" si="0"/>
        <v>-26</v>
      </c>
      <c r="I5" s="3">
        <f t="shared" si="1"/>
        <v>-34</v>
      </c>
      <c r="K5" s="18" t="s">
        <v>17</v>
      </c>
      <c r="L5" s="11">
        <f ca="1">CountCellsByColor(B3:B18,K5)</f>
        <v>1</v>
      </c>
    </row>
    <row r="6" spans="1:13" ht="21" customHeight="1" x14ac:dyDescent="0.25">
      <c r="A6" s="7">
        <v>4</v>
      </c>
      <c r="B6" s="5" t="s">
        <v>154</v>
      </c>
      <c r="C6" s="21" t="s">
        <v>72</v>
      </c>
      <c r="D6" s="1">
        <v>40</v>
      </c>
      <c r="E6" s="1">
        <v>19</v>
      </c>
      <c r="F6" s="1">
        <v>5</v>
      </c>
      <c r="G6" s="24">
        <v>17</v>
      </c>
      <c r="H6" s="3">
        <f t="shared" si="0"/>
        <v>14</v>
      </c>
      <c r="I6" s="3">
        <f t="shared" si="1"/>
        <v>19</v>
      </c>
      <c r="K6" s="15" t="s">
        <v>19</v>
      </c>
      <c r="L6" s="11">
        <f ca="1">CountCellsByColor(B3:B18,K6)</f>
        <v>5</v>
      </c>
    </row>
    <row r="7" spans="1:13" ht="21" customHeight="1" x14ac:dyDescent="0.25">
      <c r="A7" s="7">
        <v>5</v>
      </c>
      <c r="B7" s="5" t="s">
        <v>40</v>
      </c>
      <c r="C7" s="21" t="s">
        <v>74</v>
      </c>
      <c r="D7" s="1">
        <v>41</v>
      </c>
      <c r="E7" s="1">
        <v>20</v>
      </c>
      <c r="F7" s="1">
        <v>3</v>
      </c>
      <c r="G7" s="24">
        <v>17.5</v>
      </c>
      <c r="H7" s="3">
        <f t="shared" si="0"/>
        <v>17</v>
      </c>
      <c r="I7" s="3">
        <f t="shared" si="1"/>
        <v>17</v>
      </c>
      <c r="K7" s="36"/>
      <c r="L7" s="36"/>
      <c r="M7" s="36"/>
    </row>
    <row r="8" spans="1:13" ht="21" customHeight="1" x14ac:dyDescent="0.25">
      <c r="A8" s="7">
        <v>6</v>
      </c>
      <c r="B8" s="5" t="s">
        <v>178</v>
      </c>
      <c r="C8" s="21" t="s">
        <v>77</v>
      </c>
      <c r="D8" s="1">
        <v>60</v>
      </c>
      <c r="E8" s="1">
        <v>26</v>
      </c>
      <c r="F8" s="1">
        <v>46</v>
      </c>
      <c r="G8" s="24">
        <v>7.9</v>
      </c>
      <c r="H8" s="2">
        <f t="shared" si="0"/>
        <v>-20</v>
      </c>
      <c r="I8" s="2">
        <f t="shared" si="1"/>
        <v>-216</v>
      </c>
      <c r="K8" s="37"/>
      <c r="L8" s="43"/>
      <c r="M8" s="43"/>
    </row>
    <row r="9" spans="1:13" ht="21" customHeight="1" x14ac:dyDescent="0.25">
      <c r="A9" s="7">
        <v>7</v>
      </c>
      <c r="B9" s="5" t="s">
        <v>29</v>
      </c>
      <c r="C9" s="21" t="s">
        <v>75</v>
      </c>
      <c r="D9" s="1">
        <v>61</v>
      </c>
      <c r="E9" s="1">
        <v>5</v>
      </c>
      <c r="F9" s="1">
        <v>44</v>
      </c>
      <c r="G9" s="24">
        <v>3.4</v>
      </c>
      <c r="H9" s="3">
        <f t="shared" si="0"/>
        <v>-39</v>
      </c>
      <c r="I9" s="3">
        <f t="shared" si="1"/>
        <v>-123</v>
      </c>
      <c r="K9" s="37"/>
      <c r="L9" s="43"/>
      <c r="M9" s="43"/>
    </row>
    <row r="10" spans="1:13" ht="21" customHeight="1" x14ac:dyDescent="0.25">
      <c r="A10" s="7">
        <v>8</v>
      </c>
      <c r="B10" s="4" t="s">
        <v>170</v>
      </c>
      <c r="C10" s="21" t="s">
        <v>74</v>
      </c>
      <c r="D10" s="1">
        <v>80</v>
      </c>
      <c r="E10" s="1">
        <v>32</v>
      </c>
      <c r="F10" s="1">
        <v>28</v>
      </c>
      <c r="G10" s="24">
        <v>11.1</v>
      </c>
      <c r="H10" s="3">
        <f t="shared" si="0"/>
        <v>4</v>
      </c>
      <c r="I10" s="3">
        <f t="shared" si="1"/>
        <v>4</v>
      </c>
      <c r="K10" s="37"/>
      <c r="L10" s="39"/>
      <c r="M10" s="28"/>
    </row>
    <row r="11" spans="1:13" ht="21" customHeight="1" x14ac:dyDescent="0.25">
      <c r="A11" s="7">
        <v>9</v>
      </c>
      <c r="B11" s="4" t="s">
        <v>115</v>
      </c>
      <c r="C11" s="21" t="s">
        <v>74</v>
      </c>
      <c r="D11" s="1">
        <v>81</v>
      </c>
      <c r="E11" s="1">
        <v>33</v>
      </c>
      <c r="F11" s="1">
        <v>184</v>
      </c>
      <c r="G11" s="24">
        <v>0</v>
      </c>
      <c r="H11" s="3">
        <f t="shared" si="0"/>
        <v>-151</v>
      </c>
      <c r="I11" s="3">
        <f t="shared" si="1"/>
        <v>-151</v>
      </c>
      <c r="K11" s="37"/>
      <c r="L11" s="31"/>
      <c r="M11" s="31"/>
    </row>
    <row r="12" spans="1:13" ht="21" customHeight="1" x14ac:dyDescent="0.25">
      <c r="A12" s="7">
        <v>10</v>
      </c>
      <c r="B12" s="4" t="s">
        <v>6</v>
      </c>
      <c r="C12" s="21" t="s">
        <v>73</v>
      </c>
      <c r="D12" s="1">
        <v>100</v>
      </c>
      <c r="E12" s="1">
        <v>49</v>
      </c>
      <c r="F12" s="1">
        <v>90</v>
      </c>
      <c r="G12" s="24">
        <v>0.9</v>
      </c>
      <c r="H12" s="3">
        <f t="shared" si="0"/>
        <v>-41</v>
      </c>
      <c r="I12" s="3">
        <f t="shared" si="1"/>
        <v>-143</v>
      </c>
      <c r="K12" s="37"/>
      <c r="L12" s="31"/>
      <c r="M12" s="31"/>
    </row>
    <row r="13" spans="1:13" ht="21" customHeight="1" x14ac:dyDescent="0.25">
      <c r="A13" s="7">
        <v>11</v>
      </c>
      <c r="B13" s="6" t="s">
        <v>200</v>
      </c>
      <c r="C13" s="21" t="s">
        <v>73</v>
      </c>
      <c r="D13" s="1">
        <v>101</v>
      </c>
      <c r="E13" s="1">
        <v>43</v>
      </c>
      <c r="F13" s="1">
        <v>44</v>
      </c>
      <c r="G13" s="24">
        <v>8.1</v>
      </c>
      <c r="H13" s="3">
        <f t="shared" si="0"/>
        <v>-1</v>
      </c>
      <c r="I13" s="3">
        <f t="shared" si="1"/>
        <v>-3</v>
      </c>
      <c r="K13" s="37"/>
      <c r="L13" s="31"/>
      <c r="M13" s="31"/>
    </row>
    <row r="14" spans="1:13" ht="21" customHeight="1" x14ac:dyDescent="0.25">
      <c r="A14" s="7">
        <v>12</v>
      </c>
      <c r="B14" s="12" t="s">
        <v>201</v>
      </c>
      <c r="C14" s="21" t="s">
        <v>74</v>
      </c>
      <c r="D14" s="1">
        <v>120</v>
      </c>
      <c r="E14" s="1">
        <v>53</v>
      </c>
      <c r="F14" s="1">
        <v>77</v>
      </c>
      <c r="G14" s="24">
        <v>4.2</v>
      </c>
      <c r="H14" s="3">
        <f t="shared" si="0"/>
        <v>-24</v>
      </c>
      <c r="I14" s="3">
        <f t="shared" si="1"/>
        <v>-24</v>
      </c>
      <c r="K14" s="37"/>
      <c r="L14" s="31"/>
      <c r="M14" s="31"/>
    </row>
    <row r="15" spans="1:13" ht="21" customHeight="1" x14ac:dyDescent="0.25">
      <c r="A15" s="7">
        <v>13</v>
      </c>
      <c r="B15" s="5" t="s">
        <v>160</v>
      </c>
      <c r="C15" s="21" t="s">
        <v>74</v>
      </c>
      <c r="D15" s="1">
        <v>121</v>
      </c>
      <c r="E15" s="1">
        <v>11</v>
      </c>
      <c r="F15" s="1">
        <v>34</v>
      </c>
      <c r="G15" s="24">
        <v>14.3</v>
      </c>
      <c r="H15" s="2">
        <f t="shared" si="0"/>
        <v>-23</v>
      </c>
      <c r="I15" s="2">
        <f t="shared" si="1"/>
        <v>-23</v>
      </c>
      <c r="K15" s="37"/>
      <c r="L15" s="31"/>
      <c r="M15" s="31"/>
    </row>
    <row r="16" spans="1:13" ht="21" customHeight="1" x14ac:dyDescent="0.25">
      <c r="A16" s="7">
        <v>14</v>
      </c>
      <c r="B16" s="4" t="s">
        <v>202</v>
      </c>
      <c r="C16" s="21" t="s">
        <v>75</v>
      </c>
      <c r="D16" s="1">
        <v>140</v>
      </c>
      <c r="E16" s="1">
        <v>57</v>
      </c>
      <c r="F16" s="1">
        <v>76</v>
      </c>
      <c r="G16" s="24">
        <v>2.2999999999999998</v>
      </c>
      <c r="H16" s="3">
        <f t="shared" si="0"/>
        <v>-19</v>
      </c>
      <c r="I16" s="3">
        <f t="shared" si="1"/>
        <v>-60</v>
      </c>
      <c r="K16" s="37"/>
      <c r="L16" s="44"/>
      <c r="M16" s="44"/>
    </row>
    <row r="17" spans="1:13" ht="21" customHeight="1" x14ac:dyDescent="0.25">
      <c r="A17" s="7">
        <v>15</v>
      </c>
      <c r="B17" s="12" t="s">
        <v>111</v>
      </c>
      <c r="C17" s="21" t="s">
        <v>76</v>
      </c>
      <c r="D17" s="1">
        <v>141</v>
      </c>
      <c r="E17" s="1">
        <v>7</v>
      </c>
      <c r="F17" s="1">
        <v>13</v>
      </c>
      <c r="G17" s="24">
        <v>7.3</v>
      </c>
      <c r="H17" s="3">
        <f t="shared" si="0"/>
        <v>-6</v>
      </c>
      <c r="I17" s="3">
        <f t="shared" si="1"/>
        <v>-52</v>
      </c>
      <c r="K17" s="37"/>
      <c r="L17" s="44"/>
      <c r="M17" s="44"/>
    </row>
    <row r="18" spans="1:13" ht="21" customHeight="1" x14ac:dyDescent="0.25">
      <c r="A18" s="7">
        <v>16</v>
      </c>
      <c r="B18" s="12" t="s">
        <v>118</v>
      </c>
      <c r="C18" s="21" t="s">
        <v>72</v>
      </c>
      <c r="D18" s="1">
        <v>160</v>
      </c>
      <c r="E18" s="1">
        <v>9</v>
      </c>
      <c r="F18" s="13">
        <v>14</v>
      </c>
      <c r="G18" s="25">
        <v>6.3</v>
      </c>
      <c r="H18" s="19">
        <f>E18-F18</f>
        <v>-5</v>
      </c>
      <c r="I18" s="19">
        <f t="shared" si="1"/>
        <v>-7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61" t="s">
        <v>79</v>
      </c>
      <c r="D20" s="61"/>
      <c r="E20" s="61" t="s">
        <v>80</v>
      </c>
      <c r="F20" s="61"/>
      <c r="K20" s="37"/>
      <c r="L20" s="44"/>
      <c r="M20" s="44"/>
    </row>
    <row r="21" spans="1:13" ht="21" customHeight="1" x14ac:dyDescent="0.25">
      <c r="B21" s="35" t="s">
        <v>12</v>
      </c>
      <c r="C21" s="59">
        <f>SUM(H3:H18)</f>
        <v>-332</v>
      </c>
      <c r="D21" s="59"/>
      <c r="E21" s="59">
        <f>SUM(I3:I18)</f>
        <v>-814</v>
      </c>
      <c r="F21" s="59"/>
      <c r="K21" s="37"/>
      <c r="L21" s="44"/>
      <c r="M21" s="44"/>
    </row>
    <row r="22" spans="1:13" ht="21" customHeight="1" x14ac:dyDescent="0.25">
      <c r="B22" s="35" t="s">
        <v>13</v>
      </c>
      <c r="C22" s="59">
        <f>C21/16</f>
        <v>-20.75</v>
      </c>
      <c r="D22" s="59"/>
      <c r="E22" s="59">
        <f>E21/16</f>
        <v>-50.875</v>
      </c>
      <c r="F22" s="59"/>
    </row>
    <row r="23" spans="1:13" ht="21" customHeight="1" x14ac:dyDescent="0.25">
      <c r="B23" s="35" t="s">
        <v>84</v>
      </c>
      <c r="C23" s="56">
        <f>AVERAGE(G3:G18)</f>
        <v>8.9812500000000028</v>
      </c>
      <c r="D23" s="56"/>
      <c r="E23" s="57"/>
      <c r="F23" s="57"/>
    </row>
    <row r="24" spans="1:13" ht="33" customHeight="1" x14ac:dyDescent="0.25">
      <c r="B24" s="35" t="s">
        <v>85</v>
      </c>
      <c r="C24" s="54" t="str">
        <f>INDEX(B3:B18,MATCH(MAX(G3:G18),G3:G18,0),1) &amp; " at " &amp; MAX(G3:G18) &amp; " average points."</f>
        <v>JuJu Smith-Schuster at 20.5 average points.</v>
      </c>
      <c r="D24" s="54"/>
      <c r="E24" s="58"/>
      <c r="F24" s="58"/>
    </row>
    <row r="25" spans="1:13" ht="33" customHeight="1" x14ac:dyDescent="0.25">
      <c r="B25" s="35" t="s">
        <v>86</v>
      </c>
      <c r="C25" s="54" t="str">
        <f>INDEX(B3:B18,MATCH(MIN(G3:G18),G3:G18,0),1) &amp; " at " &amp; MIN(G3:G18) &amp; " average points."</f>
        <v>Tyler Boyd at 0 average points.</v>
      </c>
      <c r="D25" s="54"/>
      <c r="E25" s="58"/>
      <c r="F25" s="58"/>
    </row>
    <row r="26" spans="1:13" ht="33" customHeight="1" x14ac:dyDescent="0.25">
      <c r="B26" s="35" t="s">
        <v>14</v>
      </c>
      <c r="C26" s="54" t="str">
        <f>INDEX(B3:B18,MATCH(MAX(H3:H18),H3:H18,0),1) &amp; " at a " &amp; MAX(H3:H18) &amp; " differential."</f>
        <v>Amari Cooper at a 17 differential.</v>
      </c>
      <c r="D26" s="54"/>
      <c r="E26" s="54" t="str">
        <f>INDEX(B3:B18,MATCH(MAX(I3:I18),I3:I18,0),1) &amp; " at a " &amp; MAX(I3:I18) &amp; " differential."</f>
        <v>Melvin Gordon at a 19 differential.</v>
      </c>
      <c r="F26" s="54"/>
    </row>
    <row r="27" spans="1:13" ht="33" customHeight="1" x14ac:dyDescent="0.25">
      <c r="B27" s="35" t="s">
        <v>24</v>
      </c>
      <c r="C27" s="54" t="str">
        <f>INDEX(B3:B18,MATCH(MIN(H3:H18),H3:H18,0),1) &amp; " at a " &amp; MIN(H3:H18) &amp; " differential."</f>
        <v>Tyler Boyd at a -151 differential.</v>
      </c>
      <c r="D27" s="54"/>
      <c r="E27" s="54" t="str">
        <f>INDEX(B3:B18,MATCH(MIN(I3:I18),I3:I18,0),1) &amp; " at a " &amp; MIN(I3:I18) &amp; " differential."</f>
        <v>Eagles D/ST at a -216 differential.</v>
      </c>
      <c r="F27" s="54"/>
    </row>
    <row r="28" spans="1:13" ht="33" customHeight="1" x14ac:dyDescent="0.25">
      <c r="B28" s="35" t="s">
        <v>25</v>
      </c>
      <c r="C28" s="54" t="str">
        <f ca="1">INDEX(B3:B18,MATCH(MinMinusCellColorOfRelatedRow(B3:B18, H3:H18, K5),H3:H18,0),1) &amp; " at a " &amp; MinMinusCellColorOfRelatedRow(B3:B18, H3:H18, K5) &amp; " differential."</f>
        <v>Tyler Boyd at a -151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Eagles D/ST at a -216 differential.</v>
      </c>
      <c r="F28" s="54"/>
    </row>
    <row r="29" spans="1:13" ht="21" customHeight="1" x14ac:dyDescent="0.25">
      <c r="B29" s="35" t="s">
        <v>81</v>
      </c>
      <c r="C29" s="54" t="str">
        <f ca="1">GetBetterDraftPick(MinMinusCellColorOfRelatedRow(B3:B18, H3:H18, K5), INDEX(D3:D18,MATCH(MinMinusCellColorOfRelatedRow(B3:B18, H3:H18, K5),H3:H18,0),1),A1)</f>
        <v>Hunter Henry</v>
      </c>
      <c r="D29" s="54"/>
      <c r="E29" s="55" t="str">
        <f ca="1">GetBetterDraftPick(MinMinusCellColorOfRelatedRow(B3:B18, I3:I18, K5), INDEX(D3:D18,MATCH(MinMinusCellColorOfRelatedRow(B3:B18, I3:I18, K5),I3:I18,0),1),A1)</f>
        <v>Hunter Henry</v>
      </c>
      <c r="F29" s="55"/>
    </row>
    <row r="30" spans="1:13" ht="21" customHeight="1" x14ac:dyDescent="0.25">
      <c r="B30" s="35" t="s">
        <v>83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Curtis Samuel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Bills D/ST</v>
      </c>
      <c r="F30" s="54"/>
    </row>
    <row r="31" spans="1:13" ht="21" customHeight="1" x14ac:dyDescent="0.25">
      <c r="B31" s="35" t="s">
        <v>33</v>
      </c>
      <c r="C31" s="53">
        <f ca="1">SumCellsInRowByColor(B3:B18, H3:H18, K3)</f>
        <v>-245</v>
      </c>
      <c r="D31" s="53"/>
      <c r="E31" s="53">
        <f ca="1">SumCellsInRowByColor(B3:B18, I3:I18, K3)</f>
        <v>-402</v>
      </c>
      <c r="F31" s="53"/>
    </row>
    <row r="32" spans="1:13" ht="21" customHeight="1" x14ac:dyDescent="0.25">
      <c r="B32" s="35" t="s">
        <v>37</v>
      </c>
      <c r="C32" s="53">
        <f ca="1">C31/L3</f>
        <v>-35</v>
      </c>
      <c r="D32" s="53"/>
      <c r="E32" s="53">
        <f ca="1">E31/L3</f>
        <v>-57.428571428571431</v>
      </c>
      <c r="F32" s="53"/>
    </row>
    <row r="33" spans="2:6" ht="21" customHeight="1" x14ac:dyDescent="0.25">
      <c r="B33" s="35" t="s">
        <v>34</v>
      </c>
      <c r="C33" s="53">
        <f ca="1">SumCellsInRowByColor(B3:B18, H3:H18, K4)</f>
        <v>-35</v>
      </c>
      <c r="D33" s="53"/>
      <c r="E33" s="53">
        <f ca="1">SumCellsInRowByColor(B3:B18, I3:I18, K4)</f>
        <v>-83</v>
      </c>
      <c r="F33" s="53"/>
    </row>
    <row r="34" spans="2:6" ht="21" customHeight="1" x14ac:dyDescent="0.25">
      <c r="B34" s="35" t="s">
        <v>35</v>
      </c>
      <c r="C34" s="53">
        <f ca="1">C33/L4</f>
        <v>-11.666666666666666</v>
      </c>
      <c r="D34" s="53"/>
      <c r="E34" s="53">
        <f ca="1">E33/L4</f>
        <v>-27.666666666666668</v>
      </c>
      <c r="F34" s="53"/>
    </row>
    <row r="35" spans="2:6" ht="21" customHeight="1" x14ac:dyDescent="0.25">
      <c r="B35" s="35" t="s">
        <v>36</v>
      </c>
      <c r="C35" s="53">
        <f ca="1">SumCellsInRowByColor(B3:B18, H3:H18, K6)</f>
        <v>-51</v>
      </c>
      <c r="D35" s="53"/>
      <c r="E35" s="53">
        <f ca="1">SumCellsInRowByColor(B3:B18, I3:I18, K6)</f>
        <v>-326</v>
      </c>
      <c r="F35" s="53"/>
    </row>
    <row r="36" spans="2:6" ht="21" customHeight="1" x14ac:dyDescent="0.25">
      <c r="B36" s="35" t="s">
        <v>38</v>
      </c>
      <c r="C36" s="53">
        <f ca="1">IF(L6 &lt;&gt; 0, C35/L6, 0)</f>
        <v>-10.199999999999999</v>
      </c>
      <c r="D36" s="53"/>
      <c r="E36" s="53">
        <f ca="1">IF(L6 &lt;&gt; 0, E35/L6, 0)</f>
        <v>-65.2</v>
      </c>
      <c r="F36" s="53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29" priority="1" operator="equal">
      <formula>0</formula>
    </cfRule>
    <cfRule type="cellIs" dxfId="28" priority="2" operator="greaterThan">
      <formula>0</formula>
    </cfRule>
    <cfRule type="cellIs" dxfId="27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6"/>
  <sheetViews>
    <sheetView zoomScale="115" zoomScaleNormal="115" workbookViewId="0">
      <selection activeCell="L17" sqref="L17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60" t="s">
        <v>193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106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52</v>
      </c>
      <c r="C3" s="21" t="s">
        <v>74</v>
      </c>
      <c r="D3" s="1">
        <v>2</v>
      </c>
      <c r="E3" s="1">
        <v>2</v>
      </c>
      <c r="F3" s="1">
        <v>1</v>
      </c>
      <c r="G3" s="24">
        <v>27.3</v>
      </c>
      <c r="H3" s="2">
        <f>E3-F3</f>
        <v>1</v>
      </c>
      <c r="I3" s="2">
        <f>ROUND(IF(C3="WR", H3, IF(C3="RB", H3*1.326, IF(C3="QB", H3*3.145, IF(C3="TE", H3*3.495, IF(C3="K", H3*8.65, IF(C3="D/ST", H3*10.813, "ERROR")))))),0)</f>
        <v>1</v>
      </c>
      <c r="K3" s="16" t="s">
        <v>16</v>
      </c>
      <c r="L3" s="11">
        <f ca="1">CountCellsByColor(B3:B18,K3)</f>
        <v>10</v>
      </c>
    </row>
    <row r="4" spans="1:13" ht="21" customHeight="1" x14ac:dyDescent="0.25">
      <c r="A4" s="7">
        <v>2</v>
      </c>
      <c r="B4" s="4" t="s">
        <v>53</v>
      </c>
      <c r="C4" s="21" t="s">
        <v>74</v>
      </c>
      <c r="D4" s="1">
        <v>19</v>
      </c>
      <c r="E4" s="1">
        <v>10</v>
      </c>
      <c r="F4" s="1">
        <v>13</v>
      </c>
      <c r="G4" s="24">
        <v>11.9</v>
      </c>
      <c r="H4" s="3">
        <f t="shared" ref="H4:H17" si="0">E4-F4</f>
        <v>-3</v>
      </c>
      <c r="I4" s="3">
        <f t="shared" ref="I4:I18" si="1">ROUND(IF(C4="WR", H4, IF(C4="RB", H4*1.326, IF(C4="QB", H4*3.145, IF(C4="TE", H4*3.495, IF(C4="K", H4*8.65, IF(C4="D/ST", H4*10.813, "ERROR")))))),0)</f>
        <v>-3</v>
      </c>
      <c r="K4" s="17" t="s">
        <v>18</v>
      </c>
      <c r="L4" s="11">
        <f ca="1">CountCellsByColor(B3:B18,K4)</f>
        <v>3</v>
      </c>
    </row>
    <row r="5" spans="1:13" ht="21" customHeight="1" x14ac:dyDescent="0.25">
      <c r="A5" s="7">
        <v>3</v>
      </c>
      <c r="B5" s="4" t="s">
        <v>113</v>
      </c>
      <c r="C5" s="21" t="s">
        <v>75</v>
      </c>
      <c r="D5" s="1">
        <f>(D3+20)</f>
        <v>22</v>
      </c>
      <c r="E5" s="1">
        <v>11</v>
      </c>
      <c r="F5" s="1">
        <v>7</v>
      </c>
      <c r="G5" s="24">
        <v>15.4</v>
      </c>
      <c r="H5" s="3">
        <f t="shared" si="0"/>
        <v>4</v>
      </c>
      <c r="I5" s="3">
        <f t="shared" si="1"/>
        <v>13</v>
      </c>
      <c r="K5" s="18" t="s">
        <v>17</v>
      </c>
      <c r="L5" s="11">
        <f ca="1">CountCellsByColor(B3:B18,K5)</f>
        <v>1</v>
      </c>
    </row>
    <row r="6" spans="1:13" ht="21" customHeight="1" x14ac:dyDescent="0.25">
      <c r="A6" s="7">
        <v>4</v>
      </c>
      <c r="B6" s="5" t="s">
        <v>57</v>
      </c>
      <c r="C6" s="21" t="s">
        <v>73</v>
      </c>
      <c r="D6" s="1">
        <f>(D4+20)</f>
        <v>39</v>
      </c>
      <c r="E6" s="1">
        <v>20</v>
      </c>
      <c r="F6" s="1">
        <v>10</v>
      </c>
      <c r="G6" s="24">
        <v>14.8</v>
      </c>
      <c r="H6" s="3">
        <f t="shared" si="0"/>
        <v>10</v>
      </c>
      <c r="I6" s="3">
        <f t="shared" si="1"/>
        <v>35</v>
      </c>
      <c r="K6" s="15" t="s">
        <v>19</v>
      </c>
      <c r="L6" s="11">
        <f ca="1">CountCellsByColor(B3:B18,K6)</f>
        <v>2</v>
      </c>
    </row>
    <row r="7" spans="1:13" ht="21" customHeight="1" x14ac:dyDescent="0.25">
      <c r="A7" s="7">
        <v>5</v>
      </c>
      <c r="B7" s="5" t="s">
        <v>127</v>
      </c>
      <c r="C7" s="21" t="s">
        <v>77</v>
      </c>
      <c r="D7" s="1">
        <f t="shared" ref="D7:D18" si="2">(D5+20)</f>
        <v>42</v>
      </c>
      <c r="E7" s="1">
        <v>18</v>
      </c>
      <c r="F7" s="1">
        <v>3</v>
      </c>
      <c r="G7" s="24">
        <v>17.600000000000001</v>
      </c>
      <c r="H7" s="3">
        <f t="shared" si="0"/>
        <v>15</v>
      </c>
      <c r="I7" s="3">
        <f t="shared" si="1"/>
        <v>162</v>
      </c>
      <c r="K7" s="36"/>
      <c r="L7" s="36"/>
      <c r="M7" s="36"/>
    </row>
    <row r="8" spans="1:13" ht="21" customHeight="1" x14ac:dyDescent="0.25">
      <c r="A8" s="7">
        <v>6</v>
      </c>
      <c r="B8" s="12" t="s">
        <v>41</v>
      </c>
      <c r="C8" s="21" t="s">
        <v>72</v>
      </c>
      <c r="D8" s="1">
        <f t="shared" si="2"/>
        <v>59</v>
      </c>
      <c r="E8" s="1">
        <v>26</v>
      </c>
      <c r="F8" s="1">
        <v>29</v>
      </c>
      <c r="G8" s="24">
        <v>9.6</v>
      </c>
      <c r="H8" s="2">
        <f t="shared" si="0"/>
        <v>-3</v>
      </c>
      <c r="I8" s="2">
        <f t="shared" si="1"/>
        <v>-4</v>
      </c>
      <c r="K8" s="37"/>
      <c r="L8" s="38"/>
      <c r="M8" s="38"/>
    </row>
    <row r="9" spans="1:13" ht="21" customHeight="1" x14ac:dyDescent="0.25">
      <c r="A9" s="7">
        <v>7</v>
      </c>
      <c r="B9" s="4" t="s">
        <v>54</v>
      </c>
      <c r="C9" s="21" t="s">
        <v>72</v>
      </c>
      <c r="D9" s="1">
        <f t="shared" si="2"/>
        <v>62</v>
      </c>
      <c r="E9" s="1">
        <v>6</v>
      </c>
      <c r="F9" s="1">
        <v>28</v>
      </c>
      <c r="G9" s="24">
        <v>5.6</v>
      </c>
      <c r="H9" s="3">
        <f t="shared" si="0"/>
        <v>-22</v>
      </c>
      <c r="I9" s="3">
        <f t="shared" si="1"/>
        <v>-29</v>
      </c>
      <c r="K9" s="37"/>
      <c r="L9" s="38"/>
      <c r="M9" s="38"/>
    </row>
    <row r="10" spans="1:13" ht="21" customHeight="1" x14ac:dyDescent="0.25">
      <c r="A10" s="7">
        <v>8</v>
      </c>
      <c r="B10" s="4" t="s">
        <v>162</v>
      </c>
      <c r="C10" s="21" t="s">
        <v>76</v>
      </c>
      <c r="D10" s="1">
        <f t="shared" si="2"/>
        <v>79</v>
      </c>
      <c r="E10" s="1">
        <v>9</v>
      </c>
      <c r="F10" s="1">
        <v>23</v>
      </c>
      <c r="G10" s="24">
        <v>11.3</v>
      </c>
      <c r="H10" s="3">
        <f t="shared" si="0"/>
        <v>-14</v>
      </c>
      <c r="I10" s="3">
        <f t="shared" si="1"/>
        <v>-121</v>
      </c>
      <c r="K10" s="37"/>
      <c r="L10" s="39"/>
      <c r="M10" s="28"/>
    </row>
    <row r="11" spans="1:13" ht="21" customHeight="1" x14ac:dyDescent="0.25">
      <c r="A11" s="7">
        <v>9</v>
      </c>
      <c r="B11" s="4" t="s">
        <v>42</v>
      </c>
      <c r="C11" s="21" t="s">
        <v>72</v>
      </c>
      <c r="D11" s="1">
        <f t="shared" si="2"/>
        <v>82</v>
      </c>
      <c r="E11" s="1">
        <v>34</v>
      </c>
      <c r="F11" s="1">
        <v>65</v>
      </c>
      <c r="G11" s="24">
        <v>12.4</v>
      </c>
      <c r="H11" s="3">
        <f t="shared" si="0"/>
        <v>-31</v>
      </c>
      <c r="I11" s="3">
        <f t="shared" si="1"/>
        <v>-41</v>
      </c>
      <c r="K11" s="37"/>
      <c r="L11" s="31"/>
      <c r="M11" s="31"/>
    </row>
    <row r="12" spans="1:13" ht="21" customHeight="1" x14ac:dyDescent="0.25">
      <c r="A12" s="7">
        <v>10</v>
      </c>
      <c r="B12" s="4" t="s">
        <v>159</v>
      </c>
      <c r="C12" s="21" t="s">
        <v>72</v>
      </c>
      <c r="D12" s="1">
        <f t="shared" si="2"/>
        <v>99</v>
      </c>
      <c r="E12" s="1">
        <v>12</v>
      </c>
      <c r="F12" s="1">
        <v>7</v>
      </c>
      <c r="G12" s="24">
        <v>17.7</v>
      </c>
      <c r="H12" s="3">
        <f t="shared" si="0"/>
        <v>5</v>
      </c>
      <c r="I12" s="3">
        <f t="shared" si="1"/>
        <v>7</v>
      </c>
      <c r="K12" s="37"/>
      <c r="L12" s="31"/>
      <c r="M12" s="31"/>
    </row>
    <row r="13" spans="1:13" ht="21" customHeight="1" x14ac:dyDescent="0.25">
      <c r="A13" s="7">
        <v>11</v>
      </c>
      <c r="B13" s="6" t="s">
        <v>8</v>
      </c>
      <c r="C13" s="21" t="s">
        <v>75</v>
      </c>
      <c r="D13" s="1">
        <f t="shared" si="2"/>
        <v>102</v>
      </c>
      <c r="E13" s="1">
        <v>44</v>
      </c>
      <c r="F13" s="1">
        <v>41</v>
      </c>
      <c r="G13" s="24">
        <v>11.4</v>
      </c>
      <c r="H13" s="3">
        <f t="shared" si="0"/>
        <v>3</v>
      </c>
      <c r="I13" s="3">
        <f t="shared" si="1"/>
        <v>9</v>
      </c>
      <c r="K13" s="37"/>
      <c r="L13" s="31"/>
      <c r="M13" s="31"/>
    </row>
    <row r="14" spans="1:13" ht="21" customHeight="1" x14ac:dyDescent="0.25">
      <c r="A14" s="7">
        <v>12</v>
      </c>
      <c r="B14" s="4" t="s">
        <v>63</v>
      </c>
      <c r="C14" s="21" t="s">
        <v>74</v>
      </c>
      <c r="D14" s="1">
        <f t="shared" si="2"/>
        <v>119</v>
      </c>
      <c r="E14" s="1">
        <v>52</v>
      </c>
      <c r="F14" s="1">
        <v>152</v>
      </c>
      <c r="G14" s="24">
        <v>4.5</v>
      </c>
      <c r="H14" s="3">
        <f t="shared" si="0"/>
        <v>-100</v>
      </c>
      <c r="I14" s="3">
        <f t="shared" si="1"/>
        <v>-100</v>
      </c>
      <c r="K14" s="37"/>
      <c r="L14" s="31"/>
      <c r="M14" s="31"/>
    </row>
    <row r="15" spans="1:13" ht="21" customHeight="1" x14ac:dyDescent="0.25">
      <c r="A15" s="7">
        <v>13</v>
      </c>
      <c r="B15" s="4" t="s">
        <v>58</v>
      </c>
      <c r="C15" s="21" t="s">
        <v>73</v>
      </c>
      <c r="D15" s="1">
        <f t="shared" si="2"/>
        <v>122</v>
      </c>
      <c r="E15" s="1">
        <v>2</v>
      </c>
      <c r="F15" s="1">
        <v>4</v>
      </c>
      <c r="G15" s="24">
        <v>10.3</v>
      </c>
      <c r="H15" s="2">
        <f t="shared" si="0"/>
        <v>-2</v>
      </c>
      <c r="I15" s="2">
        <f t="shared" si="1"/>
        <v>-7</v>
      </c>
      <c r="K15" s="37"/>
      <c r="L15" s="31"/>
      <c r="M15" s="31"/>
    </row>
    <row r="16" spans="1:13" ht="21" customHeight="1" x14ac:dyDescent="0.25">
      <c r="A16" s="7">
        <v>14</v>
      </c>
      <c r="B16" s="12" t="s">
        <v>5</v>
      </c>
      <c r="C16" s="21" t="s">
        <v>72</v>
      </c>
      <c r="D16" s="1">
        <f t="shared" si="2"/>
        <v>139</v>
      </c>
      <c r="E16" s="1">
        <v>13</v>
      </c>
      <c r="F16" s="1">
        <v>1</v>
      </c>
      <c r="G16" s="24">
        <v>14.1</v>
      </c>
      <c r="H16" s="3">
        <f t="shared" si="0"/>
        <v>12</v>
      </c>
      <c r="I16" s="3">
        <f t="shared" si="1"/>
        <v>16</v>
      </c>
      <c r="K16" s="37"/>
      <c r="L16" s="40"/>
      <c r="M16" s="40"/>
    </row>
    <row r="17" spans="1:13" ht="21" customHeight="1" x14ac:dyDescent="0.25">
      <c r="A17" s="7">
        <v>15</v>
      </c>
      <c r="B17" s="4" t="s">
        <v>175</v>
      </c>
      <c r="C17" s="21" t="s">
        <v>74</v>
      </c>
      <c r="D17" s="1">
        <f t="shared" si="2"/>
        <v>142</v>
      </c>
      <c r="E17" s="1">
        <v>59</v>
      </c>
      <c r="F17" s="1">
        <v>70</v>
      </c>
      <c r="G17" s="24">
        <v>5</v>
      </c>
      <c r="H17" s="3">
        <f t="shared" si="0"/>
        <v>-11</v>
      </c>
      <c r="I17" s="3">
        <f t="shared" si="1"/>
        <v>-11</v>
      </c>
      <c r="K17" s="37"/>
      <c r="L17" s="40"/>
      <c r="M17" s="40"/>
    </row>
    <row r="18" spans="1:13" ht="21" customHeight="1" x14ac:dyDescent="0.25">
      <c r="A18" s="7">
        <v>16</v>
      </c>
      <c r="B18" s="12" t="s">
        <v>203</v>
      </c>
      <c r="C18" s="21" t="s">
        <v>74</v>
      </c>
      <c r="D18" s="1">
        <f t="shared" si="2"/>
        <v>159</v>
      </c>
      <c r="E18" s="1">
        <v>17</v>
      </c>
      <c r="F18" s="13">
        <v>13</v>
      </c>
      <c r="G18" s="25">
        <v>5.9</v>
      </c>
      <c r="H18" s="19">
        <f>E18-F18</f>
        <v>4</v>
      </c>
      <c r="I18" s="19">
        <f t="shared" si="1"/>
        <v>4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79</v>
      </c>
      <c r="D20" s="61"/>
      <c r="E20" s="61" t="s">
        <v>80</v>
      </c>
      <c r="F20" s="61"/>
      <c r="K20" s="37"/>
      <c r="L20" s="40"/>
      <c r="M20" s="40"/>
    </row>
    <row r="21" spans="1:13" ht="21" customHeight="1" x14ac:dyDescent="0.25">
      <c r="B21" s="35" t="s">
        <v>12</v>
      </c>
      <c r="C21" s="59">
        <f>SUM(H3:H18)</f>
        <v>-132</v>
      </c>
      <c r="D21" s="59"/>
      <c r="E21" s="59">
        <f>SUM(I3:I18)</f>
        <v>-69</v>
      </c>
      <c r="F21" s="59"/>
      <c r="K21" s="37"/>
      <c r="L21" s="40"/>
      <c r="M21" s="40"/>
    </row>
    <row r="22" spans="1:13" ht="21" customHeight="1" x14ac:dyDescent="0.25">
      <c r="B22" s="35" t="s">
        <v>13</v>
      </c>
      <c r="C22" s="59">
        <f>C21/16</f>
        <v>-8.25</v>
      </c>
      <c r="D22" s="59"/>
      <c r="E22" s="59">
        <f>E21/16</f>
        <v>-4.3125</v>
      </c>
      <c r="F22" s="59"/>
    </row>
    <row r="23" spans="1:13" ht="21" customHeight="1" x14ac:dyDescent="0.25">
      <c r="B23" s="35" t="s">
        <v>84</v>
      </c>
      <c r="C23" s="56">
        <f>AVERAGE(G3:G18)</f>
        <v>12.175000000000001</v>
      </c>
      <c r="D23" s="56"/>
      <c r="E23" s="57"/>
      <c r="F23" s="57"/>
    </row>
    <row r="24" spans="1:13" ht="33" customHeight="1" x14ac:dyDescent="0.25">
      <c r="B24" s="35" t="s">
        <v>85</v>
      </c>
      <c r="C24" s="54" t="str">
        <f>INDEX(B3:B18,MATCH(MAX(G3:G18),G3:G18,0),1) &amp; " at " &amp; MAX(G3:G18) &amp; " average points."</f>
        <v>DeAndre Hopkins at 27.3 average points.</v>
      </c>
      <c r="D24" s="54"/>
      <c r="E24" s="58"/>
      <c r="F24" s="58"/>
    </row>
    <row r="25" spans="1:13" ht="33" customHeight="1" x14ac:dyDescent="0.25">
      <c r="B25" s="35" t="s">
        <v>86</v>
      </c>
      <c r="C25" s="54" t="str">
        <f>INDEX(B3:B18,MATCH(MIN(G3:G18),G3:G18,0),1) &amp; " at " &amp; MIN(G3:G18) &amp; " average points."</f>
        <v>Larry Fitzgerald at 4.5 average points.</v>
      </c>
      <c r="D25" s="54"/>
      <c r="E25" s="58"/>
      <c r="F25" s="58"/>
    </row>
    <row r="26" spans="1:13" ht="33" customHeight="1" x14ac:dyDescent="0.25">
      <c r="B26" s="35" t="s">
        <v>14</v>
      </c>
      <c r="C26" s="54" t="str">
        <f>INDEX(B3:B18,MATCH(MAX(H3:H18),H3:H18,0),1) &amp; " at a " &amp; MAX(H3:H18) &amp; " differential."</f>
        <v>Bears D/ST at a 15 differential.</v>
      </c>
      <c r="D26" s="54"/>
      <c r="E26" s="54" t="str">
        <f>INDEX(B3:B18,MATCH(MAX(I3:I18),I3:I18,0),1) &amp; " at a " &amp; MAX(I3:I18) &amp; " differential."</f>
        <v>Bears D/ST at a 162 differential.</v>
      </c>
      <c r="F26" s="54"/>
    </row>
    <row r="27" spans="1:13" ht="33" customHeight="1" x14ac:dyDescent="0.25">
      <c r="B27" s="35" t="s">
        <v>24</v>
      </c>
      <c r="C27" s="54" t="str">
        <f>INDEX(B3:B18,MATCH(MIN(H3:H18),H3:H18,0),1) &amp; " at a " &amp; MIN(H3:H18) &amp; " differential."</f>
        <v>Larry Fitzgerald at a -100 differential.</v>
      </c>
      <c r="D27" s="54"/>
      <c r="E27" s="54" t="str">
        <f>INDEX(B3:B18,MATCH(MIN(I3:I18),I3:I18,0),1) &amp; " at a " &amp; MIN(I3:I18) &amp; " differential."</f>
        <v>Harrison Butker at a -121 differential.</v>
      </c>
      <c r="F27" s="54"/>
    </row>
    <row r="28" spans="1:13" ht="33" customHeight="1" x14ac:dyDescent="0.25">
      <c r="B28" s="35" t="s">
        <v>25</v>
      </c>
      <c r="C28" s="54" t="str">
        <f ca="1">INDEX(B3:B18,MATCH(MinMinusCellColorOfRelatedRow(B3:B18, H3:H18, K5),H3:H18,0),1) &amp; " at a " &amp; MinMinusCellColorOfRelatedRow(B3:B18, H3:H18, K5) &amp; " differential."</f>
        <v>Larry Fitzgerald at a -100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Harrison Butker at a -121 differential.</v>
      </c>
      <c r="F28" s="54"/>
    </row>
    <row r="29" spans="1:13" ht="21" customHeight="1" x14ac:dyDescent="0.25">
      <c r="B29" s="35" t="s">
        <v>81</v>
      </c>
      <c r="C29" s="54" t="str">
        <f ca="1">GetBetterDraftPick(MinMinusCellColorOfRelatedRow(B3:B18, H3:H18, K5), INDEX(D3:D18,MATCH(MinMinusCellColorOfRelatedRow(B3:B18, H3:H18, K5),H3:H18,0),1), A1)</f>
        <v>Harrison Butker</v>
      </c>
      <c r="D29" s="54"/>
      <c r="E29" s="55" t="str">
        <f ca="1">GetBetterDraftPick(MinMinusCellColorOfRelatedRow(B3:B18, I3:I18, K5), INDEX(D3:D18,MATCH(MinMinusCellColorOfRelatedRow(B3:B18, I3:I18, K5),I3:I18,0),1),A1)</f>
        <v>Hunter Henry</v>
      </c>
      <c r="F29" s="55"/>
    </row>
    <row r="30" spans="1:13" ht="21" customHeight="1" x14ac:dyDescent="0.25">
      <c r="B30" s="35" t="s">
        <v>83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DeSean Jackson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Harrison Butker</v>
      </c>
      <c r="F30" s="54"/>
    </row>
    <row r="31" spans="1:13" ht="21" customHeight="1" x14ac:dyDescent="0.25">
      <c r="B31" s="35" t="s">
        <v>33</v>
      </c>
      <c r="C31" s="53">
        <f ca="1">SumCellsInRowByColor(B3:B18, H3:H18, K3)</f>
        <v>-173</v>
      </c>
      <c r="D31" s="53"/>
      <c r="E31" s="53">
        <f ca="1">SumCellsInRowByColor(B3:B18, I3:I18, K3)</f>
        <v>-291</v>
      </c>
      <c r="F31" s="53"/>
    </row>
    <row r="32" spans="1:13" ht="21" customHeight="1" x14ac:dyDescent="0.25">
      <c r="B32" s="35" t="s">
        <v>37</v>
      </c>
      <c r="C32" s="53">
        <f ca="1">C31/L3</f>
        <v>-17.3</v>
      </c>
      <c r="D32" s="53"/>
      <c r="E32" s="53">
        <f ca="1">E31/L3</f>
        <v>-29.1</v>
      </c>
      <c r="F32" s="53"/>
    </row>
    <row r="33" spans="2:6" ht="21" customHeight="1" x14ac:dyDescent="0.25">
      <c r="B33" s="35" t="s">
        <v>34</v>
      </c>
      <c r="C33" s="53">
        <f ca="1">SumCellsInRowByColor(B3:B18, H3:H18, K4)</f>
        <v>13</v>
      </c>
      <c r="D33" s="53"/>
      <c r="E33" s="53">
        <f ca="1">SumCellsInRowByColor(B3:B18, I3:I18, K4)</f>
        <v>16</v>
      </c>
      <c r="F33" s="53"/>
    </row>
    <row r="34" spans="2:6" ht="21" customHeight="1" x14ac:dyDescent="0.25">
      <c r="B34" s="35" t="s">
        <v>35</v>
      </c>
      <c r="C34" s="53">
        <f ca="1">C33/L4</f>
        <v>4.333333333333333</v>
      </c>
      <c r="D34" s="53"/>
      <c r="E34" s="53">
        <f ca="1">E33/L4</f>
        <v>5.333333333333333</v>
      </c>
      <c r="F34" s="53"/>
    </row>
    <row r="35" spans="2:6" ht="21" customHeight="1" x14ac:dyDescent="0.25">
      <c r="B35" s="35" t="s">
        <v>36</v>
      </c>
      <c r="C35" s="53">
        <f ca="1">SumCellsInRowByColor(B3:B18, H3:H18, K6)</f>
        <v>25</v>
      </c>
      <c r="D35" s="53"/>
      <c r="E35" s="53">
        <f ca="1">SumCellsInRowByColor(B3:B18, I3:I18, K6)</f>
        <v>197</v>
      </c>
      <c r="F35" s="53"/>
    </row>
    <row r="36" spans="2:6" ht="21" customHeight="1" x14ac:dyDescent="0.25">
      <c r="B36" s="35" t="s">
        <v>38</v>
      </c>
      <c r="C36" s="53">
        <f ca="1">IF(L6 &lt;&gt; 0, C35/L6, 0)</f>
        <v>12.5</v>
      </c>
      <c r="D36" s="53"/>
      <c r="E36" s="53">
        <f ca="1">IF(L6 &lt;&gt; 0, E35/L6, 0)</f>
        <v>98.5</v>
      </c>
      <c r="F36" s="53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26" priority="1" operator="equal">
      <formula>0</formula>
    </cfRule>
    <cfRule type="cellIs" dxfId="25" priority="2" operator="greaterThan">
      <formula>0</formula>
    </cfRule>
    <cfRule type="cellIs" dxfId="24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6"/>
  <sheetViews>
    <sheetView zoomScale="115" zoomScaleNormal="115" workbookViewId="0">
      <selection sqref="A1:I1"/>
    </sheetView>
  </sheetViews>
  <sheetFormatPr defaultRowHeight="15" x14ac:dyDescent="0.25"/>
  <cols>
    <col min="1" max="1" width="10.7109375" customWidth="1"/>
    <col min="2" max="2" width="32.140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60" t="s">
        <v>194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106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43</v>
      </c>
      <c r="C3" s="21" t="s">
        <v>72</v>
      </c>
      <c r="D3" s="1">
        <v>3</v>
      </c>
      <c r="E3" s="1">
        <v>3</v>
      </c>
      <c r="F3" s="1">
        <v>18</v>
      </c>
      <c r="G3" s="24">
        <v>14.8</v>
      </c>
      <c r="H3" s="2">
        <f>E3-F3</f>
        <v>-15</v>
      </c>
      <c r="I3" s="2">
        <f>ROUND(IF(C3="WR", H3, IF(C3="RB", H3*1.326, IF(C3="QB", H3*3.145, IF(C3="TE", H3*3.495, IF(C3="K", H3*8.65, IF(C3="D/ST", H3*10.813, "ERROR")))))),0)</f>
        <v>-20</v>
      </c>
      <c r="K3" s="16" t="s">
        <v>16</v>
      </c>
      <c r="L3" s="11">
        <f ca="1">CountCellsByColor(B3:B18,K3)</f>
        <v>10</v>
      </c>
    </row>
    <row r="4" spans="1:13" ht="21" customHeight="1" x14ac:dyDescent="0.25">
      <c r="A4" s="7">
        <v>2</v>
      </c>
      <c r="B4" s="4" t="s">
        <v>39</v>
      </c>
      <c r="C4" s="21" t="s">
        <v>74</v>
      </c>
      <c r="D4" s="1">
        <v>18</v>
      </c>
      <c r="E4" s="1">
        <v>9</v>
      </c>
      <c r="F4" s="1">
        <v>1</v>
      </c>
      <c r="G4" s="24">
        <v>18.8</v>
      </c>
      <c r="H4" s="3">
        <f t="shared" ref="H4:H17" si="0">E4-F4</f>
        <v>8</v>
      </c>
      <c r="I4" s="3">
        <f t="shared" ref="I4:I18" si="1">ROUND(IF(C4="WR", H4, IF(C4="RB", H4*1.326, IF(C4="QB", H4*3.145, IF(C4="TE", H4*3.495, IF(C4="K", H4*8.65, IF(C4="D/ST", H4*10.813, "ERROR")))))),0)</f>
        <v>8</v>
      </c>
      <c r="K4" s="17" t="s">
        <v>18</v>
      </c>
      <c r="L4" s="11">
        <f ca="1">CountCellsByColor(B3:B18,K4)</f>
        <v>6</v>
      </c>
    </row>
    <row r="5" spans="1:13" ht="21" customHeight="1" x14ac:dyDescent="0.25">
      <c r="A5" s="7">
        <v>3</v>
      </c>
      <c r="B5" s="4" t="s">
        <v>113</v>
      </c>
      <c r="C5" s="21" t="s">
        <v>75</v>
      </c>
      <c r="D5" s="1">
        <f>(D3+20)</f>
        <v>23</v>
      </c>
      <c r="E5" s="1">
        <v>1</v>
      </c>
      <c r="F5" s="1">
        <v>11</v>
      </c>
      <c r="G5" s="24">
        <v>20.399999999999999</v>
      </c>
      <c r="H5" s="3">
        <f t="shared" si="0"/>
        <v>-10</v>
      </c>
      <c r="I5" s="3">
        <f t="shared" si="1"/>
        <v>-31</v>
      </c>
      <c r="K5" s="18" t="s">
        <v>17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46</v>
      </c>
      <c r="C6" s="21" t="s">
        <v>74</v>
      </c>
      <c r="D6" s="1">
        <f>(D4+20)</f>
        <v>38</v>
      </c>
      <c r="E6" s="1">
        <v>19</v>
      </c>
      <c r="F6" s="1">
        <v>37</v>
      </c>
      <c r="G6" s="24">
        <v>9</v>
      </c>
      <c r="H6" s="3">
        <f t="shared" si="0"/>
        <v>-18</v>
      </c>
      <c r="I6" s="3">
        <f t="shared" si="1"/>
        <v>-18</v>
      </c>
      <c r="K6" s="15" t="s">
        <v>19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32</v>
      </c>
      <c r="C7" s="21" t="s">
        <v>72</v>
      </c>
      <c r="D7" s="1">
        <f t="shared" ref="D7:D18" si="2">(D5+20)</f>
        <v>43</v>
      </c>
      <c r="E7" s="1">
        <v>19</v>
      </c>
      <c r="F7" s="1">
        <v>9</v>
      </c>
      <c r="G7" s="24">
        <v>13.4</v>
      </c>
      <c r="H7" s="3">
        <f t="shared" si="0"/>
        <v>10</v>
      </c>
      <c r="I7" s="3">
        <f t="shared" si="1"/>
        <v>13</v>
      </c>
      <c r="K7" s="36"/>
      <c r="L7" s="36"/>
      <c r="M7" s="36"/>
    </row>
    <row r="8" spans="1:13" ht="21" customHeight="1" x14ac:dyDescent="0.25">
      <c r="A8" s="7">
        <v>6</v>
      </c>
      <c r="B8" s="4" t="s">
        <v>114</v>
      </c>
      <c r="C8" s="21" t="s">
        <v>72</v>
      </c>
      <c r="D8" s="1">
        <f t="shared" si="2"/>
        <v>58</v>
      </c>
      <c r="E8" s="1">
        <v>25</v>
      </c>
      <c r="F8" s="1">
        <v>12</v>
      </c>
      <c r="G8" s="24">
        <v>12.3</v>
      </c>
      <c r="H8" s="2">
        <f t="shared" si="0"/>
        <v>13</v>
      </c>
      <c r="I8" s="2">
        <f t="shared" si="1"/>
        <v>17</v>
      </c>
      <c r="K8" s="37"/>
      <c r="L8" s="38"/>
      <c r="M8" s="38"/>
    </row>
    <row r="9" spans="1:13" ht="21" customHeight="1" x14ac:dyDescent="0.25">
      <c r="A9" s="7">
        <v>7</v>
      </c>
      <c r="B9" s="4" t="s">
        <v>115</v>
      </c>
      <c r="C9" s="21" t="s">
        <v>74</v>
      </c>
      <c r="D9" s="1">
        <f t="shared" si="2"/>
        <v>63</v>
      </c>
      <c r="E9" s="1">
        <v>27</v>
      </c>
      <c r="F9" s="1">
        <v>24</v>
      </c>
      <c r="G9" s="24">
        <v>10.1</v>
      </c>
      <c r="H9" s="3">
        <f t="shared" si="0"/>
        <v>3</v>
      </c>
      <c r="I9" s="3">
        <f t="shared" si="1"/>
        <v>3</v>
      </c>
      <c r="K9" s="37"/>
      <c r="L9" s="38"/>
      <c r="M9" s="38"/>
    </row>
    <row r="10" spans="1:13" ht="21" customHeight="1" x14ac:dyDescent="0.25">
      <c r="A10" s="7">
        <v>8</v>
      </c>
      <c r="B10" s="12" t="s">
        <v>64</v>
      </c>
      <c r="C10" s="21" t="s">
        <v>72</v>
      </c>
      <c r="D10" s="1">
        <f t="shared" si="2"/>
        <v>78</v>
      </c>
      <c r="E10" s="1">
        <v>33</v>
      </c>
      <c r="F10" s="1">
        <v>15</v>
      </c>
      <c r="G10" s="24">
        <v>11</v>
      </c>
      <c r="H10" s="3">
        <f t="shared" si="0"/>
        <v>18</v>
      </c>
      <c r="I10" s="3">
        <f t="shared" si="1"/>
        <v>24</v>
      </c>
      <c r="K10" s="37"/>
      <c r="L10" s="39"/>
      <c r="M10" s="28"/>
    </row>
    <row r="11" spans="1:13" ht="21" customHeight="1" x14ac:dyDescent="0.25">
      <c r="A11" s="7">
        <v>9</v>
      </c>
      <c r="B11" s="12" t="s">
        <v>116</v>
      </c>
      <c r="C11" s="21" t="s">
        <v>73</v>
      </c>
      <c r="D11" s="1">
        <f t="shared" si="2"/>
        <v>83</v>
      </c>
      <c r="E11" s="1">
        <v>7</v>
      </c>
      <c r="F11" s="1">
        <v>16</v>
      </c>
      <c r="G11" s="24">
        <v>5.9</v>
      </c>
      <c r="H11" s="3">
        <f t="shared" si="0"/>
        <v>-9</v>
      </c>
      <c r="I11" s="3">
        <f t="shared" si="1"/>
        <v>-31</v>
      </c>
      <c r="K11" s="37"/>
      <c r="L11" s="31"/>
      <c r="M11" s="31"/>
    </row>
    <row r="12" spans="1:13" ht="21" customHeight="1" x14ac:dyDescent="0.25">
      <c r="A12" s="7">
        <v>10</v>
      </c>
      <c r="B12" s="4" t="s">
        <v>118</v>
      </c>
      <c r="C12" s="21" t="s">
        <v>72</v>
      </c>
      <c r="D12" s="1">
        <f t="shared" si="2"/>
        <v>98</v>
      </c>
      <c r="E12" s="1">
        <v>48</v>
      </c>
      <c r="F12" s="1">
        <v>30</v>
      </c>
      <c r="G12" s="24">
        <v>9.4</v>
      </c>
      <c r="H12" s="3">
        <f t="shared" si="0"/>
        <v>18</v>
      </c>
      <c r="I12" s="3">
        <f t="shared" si="1"/>
        <v>24</v>
      </c>
      <c r="K12" s="37"/>
      <c r="L12" s="31"/>
      <c r="M12" s="31"/>
    </row>
    <row r="13" spans="1:13" ht="21" customHeight="1" x14ac:dyDescent="0.25">
      <c r="A13" s="7">
        <v>11</v>
      </c>
      <c r="B13" s="4" t="s">
        <v>117</v>
      </c>
      <c r="C13" s="21" t="s">
        <v>74</v>
      </c>
      <c r="D13" s="1">
        <f t="shared" si="2"/>
        <v>103</v>
      </c>
      <c r="E13" s="1">
        <v>45</v>
      </c>
      <c r="F13" s="1">
        <v>12</v>
      </c>
      <c r="G13" s="24">
        <v>12.4</v>
      </c>
      <c r="H13" s="3">
        <f t="shared" si="0"/>
        <v>33</v>
      </c>
      <c r="I13" s="3">
        <f t="shared" si="1"/>
        <v>33</v>
      </c>
      <c r="K13" s="37"/>
      <c r="L13" s="31"/>
      <c r="M13" s="31"/>
    </row>
    <row r="14" spans="1:13" ht="21" customHeight="1" x14ac:dyDescent="0.25">
      <c r="A14" s="7">
        <v>12</v>
      </c>
      <c r="B14" s="4" t="s">
        <v>45</v>
      </c>
      <c r="C14" s="21" t="s">
        <v>74</v>
      </c>
      <c r="D14" s="1">
        <f t="shared" si="2"/>
        <v>118</v>
      </c>
      <c r="E14" s="1">
        <v>51</v>
      </c>
      <c r="F14" s="1">
        <v>61</v>
      </c>
      <c r="G14" s="24">
        <v>10.5</v>
      </c>
      <c r="H14" s="3">
        <f t="shared" si="0"/>
        <v>-10</v>
      </c>
      <c r="I14" s="3">
        <f t="shared" si="1"/>
        <v>-10</v>
      </c>
      <c r="K14" s="37"/>
      <c r="L14" s="31"/>
      <c r="M14" s="31"/>
    </row>
    <row r="15" spans="1:13" ht="21" customHeight="1" x14ac:dyDescent="0.25">
      <c r="A15" s="7">
        <v>13</v>
      </c>
      <c r="B15" s="12" t="s">
        <v>62</v>
      </c>
      <c r="C15" s="21" t="s">
        <v>72</v>
      </c>
      <c r="D15" s="1">
        <f t="shared" si="2"/>
        <v>123</v>
      </c>
      <c r="E15" s="1">
        <v>55</v>
      </c>
      <c r="F15" s="1">
        <v>118</v>
      </c>
      <c r="G15" s="24">
        <v>0</v>
      </c>
      <c r="H15" s="2">
        <f t="shared" si="0"/>
        <v>-63</v>
      </c>
      <c r="I15" s="2">
        <f t="shared" si="1"/>
        <v>-84</v>
      </c>
      <c r="K15" s="37"/>
      <c r="L15" s="31"/>
      <c r="M15" s="31"/>
    </row>
    <row r="16" spans="1:13" ht="21" customHeight="1" x14ac:dyDescent="0.25">
      <c r="A16" s="7">
        <v>14</v>
      </c>
      <c r="B16" s="12" t="s">
        <v>9</v>
      </c>
      <c r="C16" s="21" t="s">
        <v>76</v>
      </c>
      <c r="D16" s="1">
        <f t="shared" si="2"/>
        <v>138</v>
      </c>
      <c r="E16" s="1">
        <v>6</v>
      </c>
      <c r="F16" s="1">
        <v>18</v>
      </c>
      <c r="G16" s="24">
        <v>6.4</v>
      </c>
      <c r="H16" s="3">
        <f t="shared" si="0"/>
        <v>-12</v>
      </c>
      <c r="I16" s="3">
        <f t="shared" si="1"/>
        <v>-104</v>
      </c>
      <c r="K16" s="37"/>
      <c r="L16" s="40"/>
      <c r="M16" s="40"/>
    </row>
    <row r="17" spans="1:13" ht="21" customHeight="1" x14ac:dyDescent="0.25">
      <c r="A17" s="7">
        <v>15</v>
      </c>
      <c r="B17" s="12" t="s">
        <v>119</v>
      </c>
      <c r="C17" s="21" t="s">
        <v>77</v>
      </c>
      <c r="D17" s="1">
        <f t="shared" si="2"/>
        <v>143</v>
      </c>
      <c r="E17" s="1">
        <v>7</v>
      </c>
      <c r="F17" s="1">
        <v>16</v>
      </c>
      <c r="G17" s="24">
        <v>6.3</v>
      </c>
      <c r="H17" s="3">
        <f t="shared" si="0"/>
        <v>-9</v>
      </c>
      <c r="I17" s="3">
        <f t="shared" si="1"/>
        <v>-97</v>
      </c>
      <c r="K17" s="37"/>
      <c r="L17" s="40"/>
      <c r="M17" s="40"/>
    </row>
    <row r="18" spans="1:13" ht="21" customHeight="1" x14ac:dyDescent="0.25">
      <c r="A18" s="7">
        <v>16</v>
      </c>
      <c r="B18" s="12" t="s">
        <v>120</v>
      </c>
      <c r="C18" s="21" t="s">
        <v>75</v>
      </c>
      <c r="D18" s="1">
        <f t="shared" si="2"/>
        <v>158</v>
      </c>
      <c r="E18" s="1">
        <v>14</v>
      </c>
      <c r="F18" s="13">
        <v>31</v>
      </c>
      <c r="G18" s="25">
        <v>9.1</v>
      </c>
      <c r="H18" s="19">
        <f>E18-F18</f>
        <v>-17</v>
      </c>
      <c r="I18" s="19">
        <f t="shared" si="1"/>
        <v>-53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79</v>
      </c>
      <c r="D20" s="61"/>
      <c r="E20" s="61" t="s">
        <v>80</v>
      </c>
      <c r="F20" s="61"/>
      <c r="K20" s="37"/>
      <c r="L20" s="40"/>
      <c r="M20" s="40"/>
    </row>
    <row r="21" spans="1:13" ht="21" customHeight="1" x14ac:dyDescent="0.25">
      <c r="B21" s="35" t="s">
        <v>12</v>
      </c>
      <c r="C21" s="59">
        <f>SUM(H3:H18)</f>
        <v>-60</v>
      </c>
      <c r="D21" s="59"/>
      <c r="E21" s="59">
        <f>SUM(I3:I18)</f>
        <v>-326</v>
      </c>
      <c r="F21" s="59"/>
      <c r="K21" s="37"/>
      <c r="L21" s="40"/>
      <c r="M21" s="40"/>
    </row>
    <row r="22" spans="1:13" ht="21" customHeight="1" x14ac:dyDescent="0.25">
      <c r="B22" s="35" t="s">
        <v>13</v>
      </c>
      <c r="C22" s="59">
        <f>C21/16</f>
        <v>-3.75</v>
      </c>
      <c r="D22" s="59"/>
      <c r="E22" s="59">
        <f>E21/16</f>
        <v>-20.375</v>
      </c>
      <c r="F22" s="59"/>
      <c r="K22" s="26"/>
      <c r="L22" s="26"/>
      <c r="M22" s="26"/>
    </row>
    <row r="23" spans="1:13" ht="21" customHeight="1" x14ac:dyDescent="0.25">
      <c r="B23" s="35" t="s">
        <v>84</v>
      </c>
      <c r="C23" s="56">
        <f>AVERAGE(G3:G18)</f>
        <v>10.612500000000001</v>
      </c>
      <c r="D23" s="56"/>
      <c r="E23" s="57"/>
      <c r="F23" s="57"/>
    </row>
    <row r="24" spans="1:13" ht="33.75" customHeight="1" x14ac:dyDescent="0.25">
      <c r="B24" s="35" t="s">
        <v>85</v>
      </c>
      <c r="C24" s="54" t="str">
        <f>INDEX(B3:B18,MATCH(MAX(G3:G18),G3:G18,0),1) &amp; " at " &amp; MAX(G3:G18) &amp; " average points."</f>
        <v>Patrick Mahomes at 20.4 average points.</v>
      </c>
      <c r="D24" s="54"/>
      <c r="E24" s="58"/>
      <c r="F24" s="58"/>
    </row>
    <row r="25" spans="1:13" ht="33.75" customHeight="1" x14ac:dyDescent="0.25">
      <c r="B25" s="35" t="s">
        <v>86</v>
      </c>
      <c r="C25" s="54" t="str">
        <f>INDEX(B3:B18,MATCH(MIN(G3:G18),G3:G18,0),1) &amp; " at " &amp; MIN(G3:G18) &amp; " average points."</f>
        <v>Kareem Hunt at 0 average points.</v>
      </c>
      <c r="D25" s="54"/>
      <c r="E25" s="58"/>
      <c r="F25" s="58"/>
    </row>
    <row r="26" spans="1:13" ht="33.75" customHeight="1" x14ac:dyDescent="0.25">
      <c r="B26" s="35" t="s">
        <v>14</v>
      </c>
      <c r="C26" s="54" t="str">
        <f>INDEX(B3:B18,MATCH(MAX(H3:H18),H3:H18,0),1) &amp; " at a " &amp; MAX(H3:H18) &amp; " differential."</f>
        <v>Courtland Sutton at a 33 differential.</v>
      </c>
      <c r="D26" s="54"/>
      <c r="E26" s="54" t="str">
        <f>INDEX(B3:B18,MATCH(MAX(I3:I18),I3:I18,0),1) &amp; " at a " &amp; MAX(I3:I18) &amp; " differential."</f>
        <v>Courtland Sutton at a 33 differential.</v>
      </c>
      <c r="F26" s="54"/>
    </row>
    <row r="27" spans="1:13" ht="33.75" customHeight="1" x14ac:dyDescent="0.25">
      <c r="B27" s="35" t="s">
        <v>24</v>
      </c>
      <c r="C27" s="54" t="str">
        <f>INDEX(B3:B18,MATCH(MIN(H3:H18),H3:H18,0),1) &amp; " at a " &amp; MIN(H3:H18) &amp; " differential."</f>
        <v>Kareem Hunt at a -63 differential.</v>
      </c>
      <c r="D27" s="54"/>
      <c r="E27" s="54" t="str">
        <f>INDEX(B3:B18,MATCH(MIN(I3:I18),I3:I18,0),1) &amp; " at a " &amp; MIN(I3:I18) &amp; " differential."</f>
        <v>Jake Elliot at a -104 differential.</v>
      </c>
      <c r="F27" s="54"/>
    </row>
    <row r="28" spans="1:13" ht="33.75" customHeight="1" x14ac:dyDescent="0.25">
      <c r="B28" s="35" t="s">
        <v>25</v>
      </c>
      <c r="C28" s="54" t="str">
        <f ca="1">INDEX(B3:B18,MATCH(MinMinusCellColorOfRelatedRow(B3:B18, H3:H18, K5),H3:H18,0),1) &amp; " at a " &amp; MinMinusCellColorOfRelatedRow(B3:B18, H3:H18, K5) &amp; " differential."</f>
        <v>Kareem Hunt at a -63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Jake Elliot at a -104 differential.</v>
      </c>
      <c r="F28" s="54"/>
    </row>
    <row r="29" spans="1:13" ht="21" customHeight="1" x14ac:dyDescent="0.25">
      <c r="B29" s="35" t="s">
        <v>81</v>
      </c>
      <c r="C29" s="54" t="str">
        <f ca="1">GetBetterDraftPick(MinMinusCellColorOfRelatedRow(B3:B18, H3:H18, K5), INDEX(D3:D18,MATCH(MinMinusCellColorOfRelatedRow(B3:B18, H3:H18, K5),H3:H18,0),1),A1)</f>
        <v>Harrison Butker</v>
      </c>
      <c r="D29" s="54"/>
      <c r="E29" s="55" t="str">
        <f ca="1">GetBetterDraftPick(MinMinusCellColorOfRelatedRow(B3:B18, I3:I18, K5), INDEX(D3:D18,MATCH(MinMinusCellColorOfRelatedRow(B3:B18, I3:I18, K5),I3:I18,0),1),A1)</f>
        <v>Kenyan Drake</v>
      </c>
      <c r="F29" s="55"/>
    </row>
    <row r="30" spans="1:13" ht="21" customHeight="1" x14ac:dyDescent="0.25">
      <c r="B30" s="35" t="s">
        <v>83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Kenyan Drake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Robbie Gould</v>
      </c>
      <c r="F30" s="54"/>
    </row>
    <row r="31" spans="1:13" ht="21" customHeight="1" x14ac:dyDescent="0.25">
      <c r="B31" s="35" t="s">
        <v>33</v>
      </c>
      <c r="C31" s="53">
        <f ca="1">SumCellsInRowByColor(B3:B18, H3:H18, K3)</f>
        <v>32</v>
      </c>
      <c r="D31" s="53"/>
      <c r="E31" s="53">
        <f ca="1">SumCellsInRowByColor(B3:B18, I3:I18, K3)</f>
        <v>19</v>
      </c>
      <c r="F31" s="53"/>
    </row>
    <row r="32" spans="1:13" ht="21" customHeight="1" x14ac:dyDescent="0.25">
      <c r="B32" s="35" t="s">
        <v>37</v>
      </c>
      <c r="C32" s="53">
        <f ca="1">C31/L3</f>
        <v>3.2</v>
      </c>
      <c r="D32" s="53"/>
      <c r="E32" s="53">
        <f ca="1">E31/L3</f>
        <v>1.9</v>
      </c>
      <c r="F32" s="53"/>
    </row>
    <row r="33" spans="2:6" ht="21" customHeight="1" x14ac:dyDescent="0.25">
      <c r="B33" s="35" t="s">
        <v>34</v>
      </c>
      <c r="C33" s="53">
        <f ca="1">SumCellsInRowByColor(B3:B18, H3:H18, K4)</f>
        <v>-92</v>
      </c>
      <c r="D33" s="53"/>
      <c r="E33" s="53">
        <f ca="1">SumCellsInRowByColor(B3:B18, I3:I18, K4)</f>
        <v>-345</v>
      </c>
      <c r="F33" s="53"/>
    </row>
    <row r="34" spans="2:6" ht="21" customHeight="1" x14ac:dyDescent="0.25">
      <c r="B34" s="35" t="s">
        <v>35</v>
      </c>
      <c r="C34" s="53">
        <f ca="1">C33/L4</f>
        <v>-15.333333333333334</v>
      </c>
      <c r="D34" s="53"/>
      <c r="E34" s="53">
        <f ca="1">E33/L4</f>
        <v>-57.5</v>
      </c>
      <c r="F34" s="53"/>
    </row>
    <row r="35" spans="2:6" ht="21" customHeight="1" x14ac:dyDescent="0.25">
      <c r="B35" s="35" t="s">
        <v>36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38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23" priority="1" operator="equal">
      <formula>0</formula>
    </cfRule>
    <cfRule type="cellIs" dxfId="22" priority="2" operator="greaterThan">
      <formula>0</formula>
    </cfRule>
    <cfRule type="cellIs" dxfId="21" priority="3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6"/>
  <sheetViews>
    <sheetView zoomScale="115" zoomScaleNormal="115" workbookViewId="0">
      <selection sqref="A1:I1"/>
    </sheetView>
  </sheetViews>
  <sheetFormatPr defaultRowHeight="15" x14ac:dyDescent="0.25"/>
  <cols>
    <col min="1" max="1" width="10.7109375" customWidth="1"/>
    <col min="2" max="2" width="34.140625" bestFit="1" customWidth="1"/>
    <col min="3" max="3" width="11" bestFit="1" customWidth="1"/>
    <col min="4" max="4" width="13.7109375" customWidth="1"/>
    <col min="5" max="5" width="14.85546875" customWidth="1"/>
    <col min="6" max="8" width="14.57031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1" customFormat="1" ht="22.5" customHeight="1" x14ac:dyDescent="0.25">
      <c r="A1" s="60" t="s">
        <v>87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28</v>
      </c>
      <c r="C3" s="21" t="s">
        <v>72</v>
      </c>
      <c r="D3" s="1">
        <v>4</v>
      </c>
      <c r="E3" s="1">
        <v>4</v>
      </c>
      <c r="F3" s="1">
        <v>6</v>
      </c>
      <c r="G3" s="24">
        <v>16.399999999999999</v>
      </c>
      <c r="H3" s="2">
        <f>E3-F3</f>
        <v>-2</v>
      </c>
      <c r="I3" s="2">
        <f>ROUND(IF(C3="WR", H3, IF(C3="RB", H3*1.326, IF(C3="QB", H3*3.145, IF(C3="TE", H3*3.495, IF(C3="K", H3*8.65, IF(C3="D/ST", H3*10.813, "ERROR")))))),0)</f>
        <v>-3</v>
      </c>
      <c r="K3" s="16" t="s">
        <v>16</v>
      </c>
      <c r="L3" s="11">
        <f ca="1">CountCellsByColor(B3:B18,K3)</f>
        <v>11</v>
      </c>
    </row>
    <row r="4" spans="1:13" ht="21" customHeight="1" x14ac:dyDescent="0.25">
      <c r="A4" s="7">
        <v>2</v>
      </c>
      <c r="B4" s="12" t="s">
        <v>121</v>
      </c>
      <c r="C4" s="21" t="s">
        <v>74</v>
      </c>
      <c r="D4" s="1">
        <v>17</v>
      </c>
      <c r="E4" s="1">
        <v>8</v>
      </c>
      <c r="F4" s="1">
        <v>126</v>
      </c>
      <c r="G4" s="24">
        <v>13</v>
      </c>
      <c r="H4" s="3">
        <f t="shared" ref="H4:H18" si="0">E4-F4</f>
        <v>-118</v>
      </c>
      <c r="I4" s="3">
        <f t="shared" ref="I4:I18" si="1">ROUND(IF(C4="WR", H4, IF(C4="RB", H4*1.326, IF(C4="QB", H4*3.145, IF(C4="TE", H4*3.495, IF(C4="K", H4*8.65, IF(C4="D/ST", H4*10.813, "ERROR")))))),0)</f>
        <v>-118</v>
      </c>
      <c r="K4" s="17" t="s">
        <v>18</v>
      </c>
      <c r="L4" s="11">
        <f ca="1">CountCellsByColor(B3:B18,K4)</f>
        <v>4</v>
      </c>
    </row>
    <row r="5" spans="1:13" ht="21" customHeight="1" x14ac:dyDescent="0.25">
      <c r="A5" s="7">
        <v>3</v>
      </c>
      <c r="B5" s="4" t="s">
        <v>51</v>
      </c>
      <c r="C5" s="21" t="s">
        <v>72</v>
      </c>
      <c r="D5" s="1">
        <f>(D3+20)</f>
        <v>24</v>
      </c>
      <c r="E5" s="1">
        <v>11</v>
      </c>
      <c r="F5" s="1">
        <v>7</v>
      </c>
      <c r="G5" s="24">
        <v>14.3</v>
      </c>
      <c r="H5" s="3">
        <f t="shared" si="0"/>
        <v>4</v>
      </c>
      <c r="I5" s="3">
        <f t="shared" si="1"/>
        <v>5</v>
      </c>
      <c r="K5" s="18" t="s">
        <v>17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122</v>
      </c>
      <c r="C6" s="21" t="s">
        <v>74</v>
      </c>
      <c r="D6" s="1">
        <f>(D4+20)</f>
        <v>37</v>
      </c>
      <c r="E6" s="1">
        <v>18</v>
      </c>
      <c r="F6" s="1">
        <v>27</v>
      </c>
      <c r="G6" s="24">
        <v>13.2</v>
      </c>
      <c r="H6" s="3">
        <f t="shared" si="0"/>
        <v>-9</v>
      </c>
      <c r="I6" s="3">
        <f t="shared" si="1"/>
        <v>-9</v>
      </c>
      <c r="K6" s="15" t="s">
        <v>19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30</v>
      </c>
      <c r="C7" s="21" t="s">
        <v>74</v>
      </c>
      <c r="D7" s="1">
        <f t="shared" ref="D7:D18" si="2">(D5+20)</f>
        <v>44</v>
      </c>
      <c r="E7" s="1">
        <v>21</v>
      </c>
      <c r="F7" s="1">
        <v>35</v>
      </c>
      <c r="G7" s="24">
        <v>9.1</v>
      </c>
      <c r="H7" s="3">
        <f t="shared" si="0"/>
        <v>-14</v>
      </c>
      <c r="I7" s="3">
        <f t="shared" si="1"/>
        <v>-14</v>
      </c>
      <c r="K7" s="36"/>
      <c r="L7" s="36"/>
      <c r="M7" s="36"/>
    </row>
    <row r="8" spans="1:13" ht="21" customHeight="1" x14ac:dyDescent="0.25">
      <c r="A8" s="7">
        <v>6</v>
      </c>
      <c r="B8" s="4" t="s">
        <v>123</v>
      </c>
      <c r="C8" s="21" t="s">
        <v>73</v>
      </c>
      <c r="D8" s="1">
        <f t="shared" si="2"/>
        <v>57</v>
      </c>
      <c r="E8" s="1">
        <v>4</v>
      </c>
      <c r="F8" s="1">
        <v>6</v>
      </c>
      <c r="G8" s="24">
        <v>10.4</v>
      </c>
      <c r="H8" s="2">
        <f t="shared" si="0"/>
        <v>-2</v>
      </c>
      <c r="I8" s="2">
        <f t="shared" si="1"/>
        <v>-7</v>
      </c>
      <c r="K8" s="37"/>
      <c r="L8" s="38"/>
      <c r="M8" s="38"/>
    </row>
    <row r="9" spans="1:13" ht="21" customHeight="1" x14ac:dyDescent="0.25">
      <c r="A9" s="7">
        <v>7</v>
      </c>
      <c r="B9" s="4" t="s">
        <v>70</v>
      </c>
      <c r="C9" s="21" t="s">
        <v>75</v>
      </c>
      <c r="D9" s="1">
        <f t="shared" si="2"/>
        <v>64</v>
      </c>
      <c r="E9" s="1">
        <v>5</v>
      </c>
      <c r="F9" s="1">
        <v>40</v>
      </c>
      <c r="G9" s="24">
        <v>8</v>
      </c>
      <c r="H9" s="3">
        <f t="shared" si="0"/>
        <v>-35</v>
      </c>
      <c r="I9" s="3">
        <f t="shared" si="1"/>
        <v>-110</v>
      </c>
      <c r="K9" s="37"/>
      <c r="L9" s="38"/>
      <c r="M9" s="38"/>
    </row>
    <row r="10" spans="1:13" ht="21" customHeight="1" x14ac:dyDescent="0.25">
      <c r="A10" s="7">
        <v>8</v>
      </c>
      <c r="B10" s="12" t="s">
        <v>124</v>
      </c>
      <c r="C10" s="21" t="s">
        <v>72</v>
      </c>
      <c r="D10" s="1">
        <f t="shared" si="2"/>
        <v>77</v>
      </c>
      <c r="E10" s="1">
        <v>32</v>
      </c>
      <c r="F10" s="1">
        <v>97</v>
      </c>
      <c r="G10" s="24">
        <v>4.5</v>
      </c>
      <c r="H10" s="3">
        <f t="shared" si="0"/>
        <v>-65</v>
      </c>
      <c r="I10" s="3">
        <f t="shared" si="1"/>
        <v>-86</v>
      </c>
      <c r="K10" s="37"/>
      <c r="L10" s="39"/>
      <c r="M10" s="28"/>
    </row>
    <row r="11" spans="1:13" ht="21" customHeight="1" x14ac:dyDescent="0.25">
      <c r="A11" s="7">
        <v>9</v>
      </c>
      <c r="B11" s="4" t="s">
        <v>125</v>
      </c>
      <c r="C11" s="21" t="s">
        <v>72</v>
      </c>
      <c r="D11" s="1">
        <f t="shared" si="2"/>
        <v>84</v>
      </c>
      <c r="E11" s="1">
        <v>35</v>
      </c>
      <c r="F11" s="1">
        <v>89</v>
      </c>
      <c r="G11" s="24">
        <v>3.8</v>
      </c>
      <c r="H11" s="3">
        <f t="shared" si="0"/>
        <v>-54</v>
      </c>
      <c r="I11" s="3">
        <f t="shared" si="1"/>
        <v>-72</v>
      </c>
      <c r="K11" s="37"/>
      <c r="L11" s="31"/>
      <c r="M11" s="31"/>
    </row>
    <row r="12" spans="1:13" ht="21" customHeight="1" x14ac:dyDescent="0.25">
      <c r="A12" s="7">
        <v>10</v>
      </c>
      <c r="B12" s="4" t="s">
        <v>126</v>
      </c>
      <c r="C12" s="21" t="s">
        <v>74</v>
      </c>
      <c r="D12" s="1">
        <f t="shared" si="2"/>
        <v>97</v>
      </c>
      <c r="E12" s="1">
        <v>42</v>
      </c>
      <c r="F12" s="1">
        <v>63</v>
      </c>
      <c r="G12" s="24">
        <v>8.3000000000000007</v>
      </c>
      <c r="H12" s="3">
        <f t="shared" si="0"/>
        <v>-21</v>
      </c>
      <c r="I12" s="3">
        <f t="shared" si="1"/>
        <v>-21</v>
      </c>
      <c r="K12" s="37"/>
      <c r="L12" s="31"/>
      <c r="M12" s="31"/>
    </row>
    <row r="13" spans="1:13" ht="21" customHeight="1" x14ac:dyDescent="0.25">
      <c r="A13" s="7">
        <v>11</v>
      </c>
      <c r="B13" s="4" t="s">
        <v>127</v>
      </c>
      <c r="C13" s="21" t="s">
        <v>77</v>
      </c>
      <c r="D13" s="1">
        <f t="shared" si="2"/>
        <v>104</v>
      </c>
      <c r="E13" s="1">
        <v>1</v>
      </c>
      <c r="F13" s="1">
        <v>11</v>
      </c>
      <c r="G13" s="24">
        <v>7.9</v>
      </c>
      <c r="H13" s="3">
        <f t="shared" si="0"/>
        <v>-10</v>
      </c>
      <c r="I13" s="3">
        <f t="shared" si="1"/>
        <v>-108</v>
      </c>
      <c r="K13" s="37"/>
      <c r="L13" s="31"/>
      <c r="M13" s="31"/>
    </row>
    <row r="14" spans="1:13" ht="21" customHeight="1" x14ac:dyDescent="0.25">
      <c r="A14" s="7">
        <v>12</v>
      </c>
      <c r="B14" s="4" t="s">
        <v>27</v>
      </c>
      <c r="C14" s="21" t="s">
        <v>72</v>
      </c>
      <c r="D14" s="1">
        <f t="shared" si="2"/>
        <v>117</v>
      </c>
      <c r="E14" s="1">
        <v>54</v>
      </c>
      <c r="F14" s="1">
        <v>45</v>
      </c>
      <c r="G14" s="24">
        <v>5.8</v>
      </c>
      <c r="H14" s="3">
        <f t="shared" si="0"/>
        <v>9</v>
      </c>
      <c r="I14" s="3">
        <f t="shared" si="1"/>
        <v>12</v>
      </c>
      <c r="K14" s="37"/>
      <c r="L14" s="31"/>
      <c r="M14" s="31"/>
    </row>
    <row r="15" spans="1:13" ht="21" customHeight="1" x14ac:dyDescent="0.25">
      <c r="A15" s="7">
        <v>13</v>
      </c>
      <c r="B15" s="12" t="s">
        <v>128</v>
      </c>
      <c r="C15" s="21" t="s">
        <v>74</v>
      </c>
      <c r="D15" s="1">
        <f t="shared" si="2"/>
        <v>124</v>
      </c>
      <c r="E15" s="1">
        <v>54</v>
      </c>
      <c r="F15" s="1">
        <v>91</v>
      </c>
      <c r="G15" s="24">
        <v>3.3</v>
      </c>
      <c r="H15" s="2">
        <f t="shared" si="0"/>
        <v>-37</v>
      </c>
      <c r="I15" s="2">
        <f t="shared" si="1"/>
        <v>-37</v>
      </c>
      <c r="K15" s="37"/>
      <c r="L15" s="31"/>
      <c r="M15" s="31"/>
    </row>
    <row r="16" spans="1:13" ht="21" customHeight="1" x14ac:dyDescent="0.25">
      <c r="A16" s="7">
        <v>14</v>
      </c>
      <c r="B16" s="6" t="s">
        <v>129</v>
      </c>
      <c r="C16" s="21" t="s">
        <v>76</v>
      </c>
      <c r="D16" s="1">
        <f t="shared" si="2"/>
        <v>137</v>
      </c>
      <c r="E16" s="1">
        <v>5</v>
      </c>
      <c r="F16" s="1">
        <v>29</v>
      </c>
      <c r="G16" s="24">
        <v>8</v>
      </c>
      <c r="H16" s="3">
        <f t="shared" si="0"/>
        <v>-24</v>
      </c>
      <c r="I16" s="3">
        <f t="shared" si="1"/>
        <v>-208</v>
      </c>
      <c r="K16" s="37"/>
      <c r="L16" s="40"/>
      <c r="M16" s="40"/>
    </row>
    <row r="17" spans="1:13" ht="21" customHeight="1" x14ac:dyDescent="0.25">
      <c r="A17" s="7">
        <v>15</v>
      </c>
      <c r="B17" s="4" t="s">
        <v>130</v>
      </c>
      <c r="C17" s="21" t="s">
        <v>73</v>
      </c>
      <c r="D17" s="1">
        <f t="shared" si="2"/>
        <v>144</v>
      </c>
      <c r="E17" s="1">
        <v>14</v>
      </c>
      <c r="F17" s="1">
        <v>7</v>
      </c>
      <c r="G17" s="24">
        <v>9.8000000000000007</v>
      </c>
      <c r="H17" s="3">
        <f t="shared" si="0"/>
        <v>7</v>
      </c>
      <c r="I17" s="3">
        <f t="shared" si="1"/>
        <v>24</v>
      </c>
      <c r="K17" s="37"/>
      <c r="L17" s="40"/>
      <c r="M17" s="40"/>
    </row>
    <row r="18" spans="1:13" ht="21" customHeight="1" x14ac:dyDescent="0.25">
      <c r="A18" s="7">
        <v>16</v>
      </c>
      <c r="B18" s="12" t="s">
        <v>131</v>
      </c>
      <c r="C18" s="21" t="s">
        <v>74</v>
      </c>
      <c r="D18" s="1">
        <f t="shared" si="2"/>
        <v>157</v>
      </c>
      <c r="E18" s="1">
        <v>62</v>
      </c>
      <c r="F18" s="1">
        <v>117</v>
      </c>
      <c r="G18" s="24">
        <v>3</v>
      </c>
      <c r="H18" s="19">
        <f t="shared" si="0"/>
        <v>-55</v>
      </c>
      <c r="I18" s="19">
        <f t="shared" si="1"/>
        <v>-55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79</v>
      </c>
      <c r="D20" s="61"/>
      <c r="E20" s="61" t="s">
        <v>80</v>
      </c>
      <c r="F20" s="61"/>
      <c r="K20" s="37"/>
      <c r="L20" s="40"/>
      <c r="M20" s="40"/>
    </row>
    <row r="21" spans="1:13" ht="21" customHeight="1" x14ac:dyDescent="0.25">
      <c r="B21" s="35" t="s">
        <v>12</v>
      </c>
      <c r="C21" s="59">
        <f>SUM(H3:H18)</f>
        <v>-426</v>
      </c>
      <c r="D21" s="59"/>
      <c r="E21" s="59">
        <f>SUM(I3:I18)</f>
        <v>-807</v>
      </c>
      <c r="F21" s="59"/>
      <c r="K21" s="37"/>
      <c r="L21" s="40"/>
      <c r="M21" s="40"/>
    </row>
    <row r="22" spans="1:13" ht="21" customHeight="1" x14ac:dyDescent="0.25">
      <c r="B22" s="35" t="s">
        <v>13</v>
      </c>
      <c r="C22" s="59">
        <f>C21/16</f>
        <v>-26.625</v>
      </c>
      <c r="D22" s="59"/>
      <c r="E22" s="59">
        <f>E21/16</f>
        <v>-50.4375</v>
      </c>
      <c r="F22" s="59"/>
    </row>
    <row r="23" spans="1:13" ht="21" customHeight="1" x14ac:dyDescent="0.25">
      <c r="B23" s="35" t="s">
        <v>84</v>
      </c>
      <c r="C23" s="56">
        <f>AVERAGE(G3:G18)</f>
        <v>8.6750000000000007</v>
      </c>
      <c r="D23" s="56"/>
      <c r="E23" s="57"/>
      <c r="F23" s="57"/>
    </row>
    <row r="24" spans="1:13" ht="33.75" customHeight="1" x14ac:dyDescent="0.25">
      <c r="B24" s="35" t="s">
        <v>85</v>
      </c>
      <c r="C24" s="54" t="str">
        <f>INDEX(B3:B18,MATCH(MAX(G3:G18),G3:G18,0),1) &amp; " at " &amp; MAX(G3:G18) &amp; " average points."</f>
        <v>Ezekiel Elliot at 16.4 average points.</v>
      </c>
      <c r="D24" s="54"/>
      <c r="E24" s="58"/>
      <c r="F24" s="58"/>
    </row>
    <row r="25" spans="1:13" ht="33.75" customHeight="1" x14ac:dyDescent="0.25">
      <c r="B25" s="35" t="s">
        <v>86</v>
      </c>
      <c r="C25" s="54" t="str">
        <f>INDEX(B3:B18,MATCH(MIN(G3:G18),G3:G18,0),1) &amp; " at " &amp; MIN(G3:G18) &amp; " average points."</f>
        <v>Albert Wilson at 3 average points.</v>
      </c>
      <c r="D25" s="54"/>
      <c r="E25" s="58"/>
      <c r="F25" s="58"/>
    </row>
    <row r="26" spans="1:13" ht="33.75" customHeight="1" x14ac:dyDescent="0.25">
      <c r="B26" s="35" t="s">
        <v>14</v>
      </c>
      <c r="C26" s="54" t="str">
        <f>INDEX(B3:B18,MATCH(MAX(H3:H18),H3:H18,0),1) &amp; " at a " &amp; MAX(H3:H18) &amp; " differential."</f>
        <v>Peyton Barber at a 9 differential.</v>
      </c>
      <c r="D26" s="54"/>
      <c r="E26" s="54" t="str">
        <f>INDEX(B3:B18,MATCH(MAX(I3:I18),I3:I18,0),1) &amp; " at a " &amp; MAX(I3:I18) &amp; " differential."</f>
        <v>Mark Andrews at a 24 differential.</v>
      </c>
      <c r="F26" s="54"/>
    </row>
    <row r="27" spans="1:13" ht="33.75" customHeight="1" x14ac:dyDescent="0.25">
      <c r="B27" s="35" t="s">
        <v>24</v>
      </c>
      <c r="C27" s="54" t="str">
        <f>INDEX(B3:B18,MATCH(MIN(H3:H18),H3:H18,0),1) &amp; " at a " &amp; MIN(H3:H18) &amp; " differential."</f>
        <v>Antonio Brown at a -118 differential.</v>
      </c>
      <c r="D27" s="54"/>
      <c r="E27" s="54" t="str">
        <f>INDEX(B3:B18,MATCH(MIN(I3:I18),I3:I18,0),1) &amp; " at a " &amp; MIN(I3:I18) &amp; " differential."</f>
        <v>Stephen Goskowski at a -208 differential.</v>
      </c>
      <c r="F27" s="54"/>
    </row>
    <row r="28" spans="1:13" ht="33.75" customHeight="1" x14ac:dyDescent="0.25">
      <c r="B28" s="35" t="s">
        <v>25</v>
      </c>
      <c r="C28" s="54" t="str">
        <f ca="1">INDEX(B3:B18,MATCH(MinMinusCellColorOfRelatedRow(B3:B18, H3:H18, K5),H3:H18,0),1) &amp; " at a " &amp; MinMinusCellColorOfRelatedRow(B3:B18, H3:H18, K5) &amp; " differential."</f>
        <v>Antonio Brown at a -118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Antonio Brown at a -118 differential.</v>
      </c>
      <c r="F28" s="54"/>
    </row>
    <row r="29" spans="1:13" ht="21" customHeight="1" x14ac:dyDescent="0.25">
      <c r="B29" s="35" t="s">
        <v>81</v>
      </c>
      <c r="C29" s="54" t="str">
        <f ca="1">GetBetterDraftPick(MinMinusCellColorOfRelatedRow(B3:B18, H3:H18, K5), INDEX(D3:D18,MATCH(MinMinusCellColorOfRelatedRow(B3:B18, H3:H18, K5),H3:H18,0),1), A1)</f>
        <v>Hunter Henry</v>
      </c>
      <c r="D29" s="54"/>
      <c r="E29" s="55" t="str">
        <f ca="1">GetBetterDraftPick(MinMinusCellColorOfRelatedRow(B3:B18, I3:I18, K5), INDEX(D3:D18,MATCH(MinMinusCellColorOfRelatedRow(B3:B18, I3:I18, K5),I3:I18,0),1), A1)</f>
        <v>Hunter Henry</v>
      </c>
      <c r="F29" s="55"/>
    </row>
    <row r="30" spans="1:13" ht="21" customHeight="1" x14ac:dyDescent="0.25">
      <c r="B30" s="35" t="s">
        <v>83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Tyler Lockett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Tyler Lockett</v>
      </c>
      <c r="F30" s="54"/>
    </row>
    <row r="31" spans="1:13" ht="21" customHeight="1" x14ac:dyDescent="0.25">
      <c r="B31" s="35" t="s">
        <v>33</v>
      </c>
      <c r="C31" s="53">
        <f ca="1">SumCellsInRowByColor(B3:B18, H3:H18, K3)</f>
        <v>-127</v>
      </c>
      <c r="D31" s="53"/>
      <c r="E31" s="53">
        <f ca="1">SumCellsInRowByColor(B3:B18, I3:I18, K3)</f>
        <v>-303</v>
      </c>
      <c r="F31" s="53"/>
    </row>
    <row r="32" spans="1:13" ht="21" customHeight="1" x14ac:dyDescent="0.25">
      <c r="B32" s="35" t="s">
        <v>37</v>
      </c>
      <c r="C32" s="53">
        <f ca="1">C31/L3</f>
        <v>-11.545454545454545</v>
      </c>
      <c r="D32" s="53"/>
      <c r="E32" s="53">
        <f ca="1">E31/L3</f>
        <v>-27.545454545454547</v>
      </c>
      <c r="F32" s="53"/>
    </row>
    <row r="33" spans="2:6" ht="21" customHeight="1" x14ac:dyDescent="0.25">
      <c r="B33" s="35" t="s">
        <v>34</v>
      </c>
      <c r="C33" s="53">
        <f ca="1">SumCellsInRowByColor(B3:B18, H3:H18, K4)</f>
        <v>-275</v>
      </c>
      <c r="D33" s="53"/>
      <c r="E33" s="53">
        <f ca="1">SumCellsInRowByColor(B3:B18, I3:I18, K4)</f>
        <v>-296</v>
      </c>
      <c r="F33" s="53"/>
    </row>
    <row r="34" spans="2:6" ht="21" customHeight="1" x14ac:dyDescent="0.25">
      <c r="B34" s="35" t="s">
        <v>35</v>
      </c>
      <c r="C34" s="53">
        <f ca="1">C33/L4</f>
        <v>-68.75</v>
      </c>
      <c r="D34" s="53"/>
      <c r="E34" s="53">
        <f ca="1">E33/L4</f>
        <v>-74</v>
      </c>
      <c r="F34" s="53"/>
    </row>
    <row r="35" spans="2:6" ht="21" customHeight="1" x14ac:dyDescent="0.25">
      <c r="B35" s="35" t="s">
        <v>36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38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20" priority="1" operator="equal">
      <formula>0</formula>
    </cfRule>
    <cfRule type="cellIs" dxfId="19" priority="2" operator="greaterThan">
      <formula>0</formula>
    </cfRule>
    <cfRule type="cellIs" dxfId="18" priority="3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6"/>
  <sheetViews>
    <sheetView zoomScale="115" zoomScaleNormal="115" workbookViewId="0">
      <selection sqref="A1:I1"/>
    </sheetView>
  </sheetViews>
  <sheetFormatPr defaultRowHeight="15" x14ac:dyDescent="0.25"/>
  <cols>
    <col min="1" max="1" width="10.7109375" customWidth="1"/>
    <col min="2" max="2" width="33.5703125" customWidth="1"/>
    <col min="3" max="3" width="11.7109375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1.85546875" customWidth="1"/>
    <col min="12" max="12" width="35.7109375" bestFit="1" customWidth="1"/>
    <col min="13" max="13" width="35.28515625" customWidth="1"/>
  </cols>
  <sheetData>
    <row r="1" spans="1:12" ht="22.5" customHeight="1" x14ac:dyDescent="0.25">
      <c r="A1" s="60" t="s">
        <v>195</v>
      </c>
      <c r="B1" s="60"/>
      <c r="C1" s="60"/>
      <c r="D1" s="60"/>
      <c r="E1" s="60"/>
      <c r="F1" s="60"/>
      <c r="G1" s="60"/>
      <c r="H1" s="60"/>
      <c r="I1" s="60"/>
    </row>
    <row r="2" spans="1:12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2" ht="21" customHeight="1" x14ac:dyDescent="0.25">
      <c r="A3" s="7">
        <v>1</v>
      </c>
      <c r="B3" s="4" t="s">
        <v>20</v>
      </c>
      <c r="C3" s="21" t="s">
        <v>72</v>
      </c>
      <c r="D3" s="1">
        <v>5</v>
      </c>
      <c r="E3" s="1">
        <v>5</v>
      </c>
      <c r="F3" s="1">
        <v>118</v>
      </c>
      <c r="G3" s="24">
        <v>0</v>
      </c>
      <c r="H3" s="2">
        <f>E3-F3</f>
        <v>-113</v>
      </c>
      <c r="I3" s="2">
        <f>ROUND(IF(C3="WR", H3, IF(C3="RB", H3*1.326, IF(C3="QB", H3*3.145, IF(C3="TE", H3*3.495, IF(C3="K", H3*8.65, IF(C3="D/ST", H3*10.813, "ERROR")))))),0)</f>
        <v>-150</v>
      </c>
      <c r="K3" s="16" t="s">
        <v>16</v>
      </c>
      <c r="L3" s="30">
        <f ca="1">CountCellsByColor(B3:B18,K3)</f>
        <v>11</v>
      </c>
    </row>
    <row r="4" spans="1:12" ht="21" customHeight="1" x14ac:dyDescent="0.25">
      <c r="A4" s="7">
        <v>2</v>
      </c>
      <c r="B4" s="4" t="s">
        <v>53</v>
      </c>
      <c r="C4" s="21" t="s">
        <v>74</v>
      </c>
      <c r="D4" s="1">
        <v>16</v>
      </c>
      <c r="E4" s="1">
        <v>7</v>
      </c>
      <c r="F4" s="1">
        <v>79</v>
      </c>
      <c r="G4" s="24">
        <v>1.4</v>
      </c>
      <c r="H4" s="3">
        <f t="shared" ref="H4:H18" si="0">E4-F4</f>
        <v>-72</v>
      </c>
      <c r="I4" s="3">
        <f t="shared" ref="I4:I18" si="1">ROUND(IF(C4="WR", H4, IF(C4="RB", H4*1.326, IF(C4="QB", H4*3.145, IF(C4="TE", H4*3.495, IF(C4="K", H4*8.65, IF(C4="D/ST", H4*10.813, "ERROR")))))),0)</f>
        <v>-72</v>
      </c>
      <c r="K4" s="17" t="s">
        <v>18</v>
      </c>
      <c r="L4" s="30">
        <f ca="1">CountCellsByColor(B3:B18,K4)</f>
        <v>4</v>
      </c>
    </row>
    <row r="5" spans="1:12" ht="21" customHeight="1" x14ac:dyDescent="0.25">
      <c r="A5" s="7">
        <v>3</v>
      </c>
      <c r="B5" s="4" t="s">
        <v>132</v>
      </c>
      <c r="C5" s="21" t="s">
        <v>73</v>
      </c>
      <c r="D5" s="1">
        <f>(D3+20)</f>
        <v>25</v>
      </c>
      <c r="E5" s="1">
        <v>2</v>
      </c>
      <c r="F5" s="1">
        <v>2</v>
      </c>
      <c r="G5" s="24">
        <v>12.9</v>
      </c>
      <c r="H5" s="3">
        <f t="shared" si="0"/>
        <v>0</v>
      </c>
      <c r="I5" s="3">
        <f t="shared" si="1"/>
        <v>0</v>
      </c>
      <c r="K5" s="18" t="s">
        <v>17</v>
      </c>
      <c r="L5" s="30">
        <f ca="1">CountCellsByColor(B3:B18,K5)</f>
        <v>1</v>
      </c>
    </row>
    <row r="6" spans="1:12" ht="21" customHeight="1" x14ac:dyDescent="0.25">
      <c r="A6" s="7">
        <v>4</v>
      </c>
      <c r="B6" s="4" t="s">
        <v>133</v>
      </c>
      <c r="C6" s="21" t="s">
        <v>72</v>
      </c>
      <c r="D6" s="1">
        <f>(D4+20)</f>
        <v>36</v>
      </c>
      <c r="E6" s="1">
        <v>17</v>
      </c>
      <c r="F6" s="1">
        <v>55</v>
      </c>
      <c r="G6" s="24">
        <v>6.9</v>
      </c>
      <c r="H6" s="3">
        <f t="shared" si="0"/>
        <v>-38</v>
      </c>
      <c r="I6" s="3">
        <f t="shared" si="1"/>
        <v>-50</v>
      </c>
      <c r="K6" s="15" t="s">
        <v>19</v>
      </c>
      <c r="L6" s="30">
        <f ca="1">CountCellsByColor(B3:B18,K6)</f>
        <v>0</v>
      </c>
    </row>
    <row r="7" spans="1:12" ht="21" customHeight="1" x14ac:dyDescent="0.25">
      <c r="A7" s="7">
        <v>5</v>
      </c>
      <c r="B7" s="20" t="s">
        <v>134</v>
      </c>
      <c r="C7" s="22" t="s">
        <v>74</v>
      </c>
      <c r="D7" s="1">
        <f t="shared" ref="D7:D18" si="2">(D5+20)</f>
        <v>45</v>
      </c>
      <c r="E7" s="1">
        <v>22</v>
      </c>
      <c r="F7" s="1">
        <v>7</v>
      </c>
      <c r="G7" s="24">
        <v>22.5</v>
      </c>
      <c r="H7" s="3">
        <f t="shared" si="0"/>
        <v>15</v>
      </c>
      <c r="I7" s="3">
        <f t="shared" si="1"/>
        <v>15</v>
      </c>
    </row>
    <row r="8" spans="1:12" ht="21" customHeight="1" x14ac:dyDescent="0.25">
      <c r="A8" s="7">
        <v>6</v>
      </c>
      <c r="B8" s="4" t="s">
        <v>49</v>
      </c>
      <c r="C8" s="21" t="s">
        <v>75</v>
      </c>
      <c r="D8" s="1">
        <f t="shared" si="2"/>
        <v>56</v>
      </c>
      <c r="E8" s="1">
        <v>4</v>
      </c>
      <c r="F8" s="1">
        <v>31</v>
      </c>
      <c r="G8" s="24">
        <v>9.5</v>
      </c>
      <c r="H8" s="2">
        <f t="shared" si="0"/>
        <v>-27</v>
      </c>
      <c r="I8" s="2">
        <f t="shared" si="1"/>
        <v>-85</v>
      </c>
    </row>
    <row r="9" spans="1:12" ht="21" customHeight="1" x14ac:dyDescent="0.25">
      <c r="A9" s="7">
        <v>7</v>
      </c>
      <c r="B9" s="4" t="s">
        <v>135</v>
      </c>
      <c r="C9" s="21" t="s">
        <v>74</v>
      </c>
      <c r="D9" s="1">
        <f t="shared" si="2"/>
        <v>65</v>
      </c>
      <c r="E9" s="1">
        <v>28</v>
      </c>
      <c r="F9" s="1">
        <v>48</v>
      </c>
      <c r="G9" s="24">
        <v>5.0999999999999996</v>
      </c>
      <c r="H9" s="3">
        <f t="shared" si="0"/>
        <v>-20</v>
      </c>
      <c r="I9" s="3">
        <f t="shared" si="1"/>
        <v>-20</v>
      </c>
    </row>
    <row r="10" spans="1:12" ht="21" customHeight="1" x14ac:dyDescent="0.25">
      <c r="A10" s="7">
        <v>8</v>
      </c>
      <c r="B10" s="12" t="s">
        <v>136</v>
      </c>
      <c r="C10" s="21" t="s">
        <v>72</v>
      </c>
      <c r="D10" s="1">
        <f t="shared" si="2"/>
        <v>76</v>
      </c>
      <c r="E10" s="1">
        <v>31</v>
      </c>
      <c r="F10" s="1">
        <v>79</v>
      </c>
      <c r="G10" s="24">
        <v>5.3</v>
      </c>
      <c r="H10" s="3">
        <f t="shared" si="0"/>
        <v>-48</v>
      </c>
      <c r="I10" s="3">
        <f t="shared" si="1"/>
        <v>-64</v>
      </c>
    </row>
    <row r="11" spans="1:12" ht="21" customHeight="1" x14ac:dyDescent="0.25">
      <c r="A11" s="7">
        <v>9</v>
      </c>
      <c r="B11" s="12" t="s">
        <v>137</v>
      </c>
      <c r="C11" s="21" t="s">
        <v>74</v>
      </c>
      <c r="D11" s="1">
        <f t="shared" si="2"/>
        <v>85</v>
      </c>
      <c r="E11" s="1">
        <v>35</v>
      </c>
      <c r="F11" s="1">
        <v>75</v>
      </c>
      <c r="G11" s="24">
        <v>1.6</v>
      </c>
      <c r="H11" s="3">
        <f t="shared" si="0"/>
        <v>-40</v>
      </c>
      <c r="I11" s="3">
        <f t="shared" si="1"/>
        <v>-40</v>
      </c>
    </row>
    <row r="12" spans="1:12" ht="21" customHeight="1" x14ac:dyDescent="0.25">
      <c r="A12" s="7">
        <v>10</v>
      </c>
      <c r="B12" s="4" t="s">
        <v>6</v>
      </c>
      <c r="C12" s="21" t="s">
        <v>73</v>
      </c>
      <c r="D12" s="1">
        <f t="shared" si="2"/>
        <v>96</v>
      </c>
      <c r="E12" s="1">
        <v>10</v>
      </c>
      <c r="F12" s="1">
        <v>52</v>
      </c>
      <c r="G12" s="24">
        <v>7.2</v>
      </c>
      <c r="H12" s="3">
        <f t="shared" si="0"/>
        <v>-42</v>
      </c>
      <c r="I12" s="3">
        <f t="shared" si="1"/>
        <v>-147</v>
      </c>
    </row>
    <row r="13" spans="1:12" ht="21" customHeight="1" x14ac:dyDescent="0.25">
      <c r="A13" s="7">
        <v>11</v>
      </c>
      <c r="B13" s="4" t="s">
        <v>138</v>
      </c>
      <c r="C13" s="21" t="s">
        <v>72</v>
      </c>
      <c r="D13" s="1">
        <f t="shared" si="2"/>
        <v>105</v>
      </c>
      <c r="E13" s="1">
        <v>50</v>
      </c>
      <c r="F13" s="1">
        <v>84</v>
      </c>
      <c r="G13" s="24">
        <v>4.4000000000000004</v>
      </c>
      <c r="H13" s="3">
        <f t="shared" si="0"/>
        <v>-34</v>
      </c>
      <c r="I13" s="3">
        <f t="shared" si="1"/>
        <v>-45</v>
      </c>
    </row>
    <row r="14" spans="1:12" ht="21" customHeight="1" x14ac:dyDescent="0.25">
      <c r="A14" s="7">
        <v>12</v>
      </c>
      <c r="B14" s="4" t="s">
        <v>67</v>
      </c>
      <c r="C14" s="21" t="s">
        <v>76</v>
      </c>
      <c r="D14" s="1">
        <f t="shared" si="2"/>
        <v>116</v>
      </c>
      <c r="E14" s="1">
        <v>1</v>
      </c>
      <c r="F14" s="1">
        <v>6</v>
      </c>
      <c r="G14" s="24">
        <v>9.1</v>
      </c>
      <c r="H14" s="3">
        <f t="shared" si="0"/>
        <v>-5</v>
      </c>
      <c r="I14" s="3">
        <f t="shared" si="1"/>
        <v>-43</v>
      </c>
    </row>
    <row r="15" spans="1:12" ht="21" customHeight="1" x14ac:dyDescent="0.25">
      <c r="A15" s="7">
        <v>13</v>
      </c>
      <c r="B15" s="4" t="s">
        <v>139</v>
      </c>
      <c r="C15" s="21" t="s">
        <v>74</v>
      </c>
      <c r="D15" s="1">
        <f t="shared" si="2"/>
        <v>125</v>
      </c>
      <c r="E15" s="1">
        <v>54</v>
      </c>
      <c r="F15" s="1">
        <v>5</v>
      </c>
      <c r="G15" s="24">
        <v>7.9</v>
      </c>
      <c r="H15" s="2">
        <f t="shared" si="0"/>
        <v>49</v>
      </c>
      <c r="I15" s="2">
        <f t="shared" si="1"/>
        <v>49</v>
      </c>
    </row>
    <row r="16" spans="1:12" ht="21" customHeight="1" x14ac:dyDescent="0.25">
      <c r="A16" s="7">
        <v>14</v>
      </c>
      <c r="B16" s="12" t="s">
        <v>140</v>
      </c>
      <c r="C16" s="21" t="s">
        <v>77</v>
      </c>
      <c r="D16" s="1">
        <f t="shared" si="2"/>
        <v>136</v>
      </c>
      <c r="E16" s="1">
        <v>6</v>
      </c>
      <c r="F16" s="1">
        <v>59</v>
      </c>
      <c r="G16" s="24">
        <v>4.3</v>
      </c>
      <c r="H16" s="3">
        <f t="shared" si="0"/>
        <v>-53</v>
      </c>
      <c r="I16" s="3">
        <f t="shared" si="1"/>
        <v>-573</v>
      </c>
    </row>
    <row r="17" spans="1:9" ht="21" customHeight="1" x14ac:dyDescent="0.25">
      <c r="A17" s="7">
        <v>15</v>
      </c>
      <c r="B17" s="12" t="s">
        <v>141</v>
      </c>
      <c r="C17" s="21" t="s">
        <v>72</v>
      </c>
      <c r="D17" s="1">
        <f t="shared" si="2"/>
        <v>145</v>
      </c>
      <c r="E17" s="1">
        <v>58</v>
      </c>
      <c r="F17" s="1">
        <v>57</v>
      </c>
      <c r="G17" s="24">
        <v>6.9</v>
      </c>
      <c r="H17" s="3">
        <f t="shared" si="0"/>
        <v>1</v>
      </c>
      <c r="I17" s="3">
        <f t="shared" si="1"/>
        <v>1</v>
      </c>
    </row>
    <row r="18" spans="1:9" ht="21" customHeight="1" x14ac:dyDescent="0.25">
      <c r="A18" s="7">
        <v>16</v>
      </c>
      <c r="B18" s="6" t="s">
        <v>142</v>
      </c>
      <c r="C18" s="21" t="s">
        <v>74</v>
      </c>
      <c r="D18" s="1">
        <f t="shared" si="2"/>
        <v>156</v>
      </c>
      <c r="E18" s="1">
        <v>61</v>
      </c>
      <c r="F18" s="1">
        <v>92</v>
      </c>
      <c r="G18" s="24">
        <v>4.3</v>
      </c>
      <c r="H18" s="19">
        <f t="shared" si="0"/>
        <v>-31</v>
      </c>
      <c r="I18" s="19">
        <f t="shared" si="1"/>
        <v>-31</v>
      </c>
    </row>
    <row r="19" spans="1:9" ht="21" customHeight="1" x14ac:dyDescent="0.25"/>
    <row r="20" spans="1:9" ht="21" customHeight="1" x14ac:dyDescent="0.25">
      <c r="B20" s="8"/>
      <c r="C20" s="61" t="s">
        <v>79</v>
      </c>
      <c r="D20" s="61"/>
      <c r="E20" s="61" t="s">
        <v>80</v>
      </c>
      <c r="F20" s="61"/>
    </row>
    <row r="21" spans="1:9" ht="21" customHeight="1" x14ac:dyDescent="0.25">
      <c r="B21" s="35" t="s">
        <v>12</v>
      </c>
      <c r="C21" s="59">
        <f>SUM(H3:H18)</f>
        <v>-458</v>
      </c>
      <c r="D21" s="59"/>
      <c r="E21" s="59">
        <f>SUM(I3:I18)</f>
        <v>-1255</v>
      </c>
      <c r="F21" s="59"/>
    </row>
    <row r="22" spans="1:9" ht="21" customHeight="1" x14ac:dyDescent="0.25">
      <c r="B22" s="35" t="s">
        <v>13</v>
      </c>
      <c r="C22" s="59">
        <f>C21/16</f>
        <v>-28.625</v>
      </c>
      <c r="D22" s="59"/>
      <c r="E22" s="59">
        <f>E21/16</f>
        <v>-78.4375</v>
      </c>
      <c r="F22" s="59"/>
    </row>
    <row r="23" spans="1:9" ht="21" customHeight="1" x14ac:dyDescent="0.25">
      <c r="B23" s="35" t="s">
        <v>84</v>
      </c>
      <c r="C23" s="56">
        <f>AVERAGE(G3:G18)</f>
        <v>6.8312500000000007</v>
      </c>
      <c r="D23" s="56"/>
      <c r="E23" s="57"/>
      <c r="F23" s="57"/>
    </row>
    <row r="24" spans="1:9" ht="33" customHeight="1" x14ac:dyDescent="0.25">
      <c r="B24" s="35" t="s">
        <v>85</v>
      </c>
      <c r="C24" s="54" t="str">
        <f>INDEX(B3:B18,MATCH(MAX(G3:G18),G3:G18,0),1) &amp; " at " &amp; MAX(G3:G18) &amp; " average points."</f>
        <v>Tyler Lockett at 22.5 average points.</v>
      </c>
      <c r="D24" s="54"/>
      <c r="E24" s="58"/>
      <c r="F24" s="58"/>
    </row>
    <row r="25" spans="1:9" ht="33" customHeight="1" x14ac:dyDescent="0.25">
      <c r="B25" s="35" t="s">
        <v>86</v>
      </c>
      <c r="C25" s="54" t="str">
        <f>INDEX(B3:B18,MATCH(MIN(G3:G18),G3:G18,0),1) &amp; " at " &amp; MIN(G3:G18) &amp; " average points."</f>
        <v>Le'Veon Bell at 0 average points.</v>
      </c>
      <c r="D25" s="54"/>
      <c r="E25" s="58"/>
      <c r="F25" s="58"/>
    </row>
    <row r="26" spans="1:9" ht="33" customHeight="1" x14ac:dyDescent="0.25">
      <c r="B26" s="35" t="s">
        <v>14</v>
      </c>
      <c r="C26" s="54" t="str">
        <f>INDEX(B3:B18,MATCH(MAX(H3:H18),H3:H18,0),1) &amp; " at a " &amp; MAX(H3:H18) &amp; " differential."</f>
        <v>Tyrell Williams at a 49 differential.</v>
      </c>
      <c r="D26" s="54"/>
      <c r="E26" s="54" t="str">
        <f>INDEX(B3:B18,MATCH(MAX(I3:I18),I3:I18,0),1) &amp; " at a " &amp; MAX(I3:I18) &amp; " differential."</f>
        <v>Tyrell Williams at a 49 differential.</v>
      </c>
      <c r="F26" s="54"/>
      <c r="H26" s="30"/>
    </row>
    <row r="27" spans="1:9" ht="33" customHeight="1" x14ac:dyDescent="0.25">
      <c r="B27" s="35" t="s">
        <v>24</v>
      </c>
      <c r="C27" s="54" t="str">
        <f>INDEX(B3:B18,MATCH(MIN(H3:H18),H3:H18,0),1) &amp; " at a " &amp; MIN(H3:H18) &amp; " differential."</f>
        <v>Le'Veon Bell at a -113 differential.</v>
      </c>
      <c r="D27" s="54"/>
      <c r="E27" s="54" t="str">
        <f>INDEX(B3:B18,MATCH(MIN(I3:I18),I3:I18,0),1) &amp; " at a " &amp; MIN(I3:I18) &amp; " differential."</f>
        <v>Saints D/ST at a -573 differential.</v>
      </c>
      <c r="F27" s="54"/>
      <c r="H27" s="30"/>
    </row>
    <row r="28" spans="1:9" ht="33" customHeight="1" x14ac:dyDescent="0.25">
      <c r="B28" s="35" t="s">
        <v>25</v>
      </c>
      <c r="C28" s="54" t="str">
        <f ca="1">INDEX(B3:B18,MATCH(MinMinusCellColorOfRelatedRow(B3:B18, H3:H18, K5),H3:H18,0),1) &amp; " at a " &amp; MinMinusCellColorOfRelatedRow(B3:B18, H3:H18, K5) &amp; " differential."</f>
        <v>Le'Veon Bell at a -113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Saints D/ST at a -573 differential.</v>
      </c>
      <c r="F28" s="54"/>
      <c r="H28" s="30"/>
    </row>
    <row r="29" spans="1:9" ht="21" customHeight="1" x14ac:dyDescent="0.25">
      <c r="B29" s="35" t="s">
        <v>81</v>
      </c>
      <c r="C29" s="54" t="str">
        <f ca="1">GetBetterDraftPick(MinMinusCellColorOfRelatedRow(B3:B18, H3:H18, K5), INDEX(D3:D18,MATCH(MinMinusCellColorOfRelatedRow(B3:B18, H3:H18, K5),H3:H18,0),1), A1)</f>
        <v>DeAndre Hopkins</v>
      </c>
      <c r="D29" s="54"/>
      <c r="E29" s="55" t="str">
        <f ca="1">GetBetterDraftPick(MinMinusCellColorOfRelatedRow(B3:B18, I3:I18, K5), INDEX(D3:D18,MATCH(MinMinusCellColorOfRelatedRow(B3:B18, I3:I18, K5),I3:I18,0),1), A1)</f>
        <v>Kenyan Drake</v>
      </c>
      <c r="F29" s="55"/>
      <c r="H29" s="31"/>
    </row>
    <row r="30" spans="1:9" ht="21" customHeight="1" x14ac:dyDescent="0.25">
      <c r="B30" s="35" t="s">
        <v>83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Nick Chubb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Eagles D/ST</v>
      </c>
      <c r="F30" s="54"/>
      <c r="H30" s="30"/>
    </row>
    <row r="31" spans="1:9" ht="21" customHeight="1" x14ac:dyDescent="0.25">
      <c r="B31" s="35" t="s">
        <v>33</v>
      </c>
      <c r="C31" s="53">
        <f ca="1">SumCellsInRowByColor(B3:B18, H3:H18, K3)</f>
        <v>-287</v>
      </c>
      <c r="D31" s="53"/>
      <c r="E31" s="53">
        <f ca="1">SumCellsInRowByColor(B3:B18, I3:I18, K3)</f>
        <v>-548</v>
      </c>
      <c r="F31" s="53"/>
      <c r="H31" s="29"/>
    </row>
    <row r="32" spans="1:9" ht="21" customHeight="1" x14ac:dyDescent="0.25">
      <c r="B32" s="35" t="s">
        <v>37</v>
      </c>
      <c r="C32" s="53">
        <f ca="1">C31/L3</f>
        <v>-26.09090909090909</v>
      </c>
      <c r="D32" s="53"/>
      <c r="E32" s="53">
        <f ca="1">E31/L3</f>
        <v>-49.81818181818182</v>
      </c>
      <c r="F32" s="53"/>
      <c r="H32" s="29"/>
    </row>
    <row r="33" spans="2:8" ht="21" customHeight="1" x14ac:dyDescent="0.25">
      <c r="B33" s="35" t="s">
        <v>34</v>
      </c>
      <c r="C33" s="53">
        <f ca="1">SumCellsInRowByColor(B3:B18, H3:H18, K4)</f>
        <v>-140</v>
      </c>
      <c r="D33" s="53"/>
      <c r="E33" s="53">
        <f ca="1">SumCellsInRowByColor(B3:B18, I3:I18, K4)</f>
        <v>-676</v>
      </c>
      <c r="F33" s="53"/>
      <c r="H33" s="29"/>
    </row>
    <row r="34" spans="2:8" ht="21" customHeight="1" x14ac:dyDescent="0.25">
      <c r="B34" s="35" t="s">
        <v>35</v>
      </c>
      <c r="C34" s="53">
        <f ca="1">C33/L4</f>
        <v>-35</v>
      </c>
      <c r="D34" s="53"/>
      <c r="E34" s="53">
        <f ca="1">E33/L4</f>
        <v>-169</v>
      </c>
      <c r="F34" s="53"/>
      <c r="H34" s="29"/>
    </row>
    <row r="35" spans="2:8" ht="21" customHeight="1" x14ac:dyDescent="0.25">
      <c r="B35" s="35" t="s">
        <v>36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  <c r="H35" s="29"/>
    </row>
    <row r="36" spans="2:8" ht="21" customHeight="1" x14ac:dyDescent="0.25">
      <c r="B36" s="35" t="s">
        <v>38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  <c r="H36" s="29"/>
    </row>
  </sheetData>
  <mergeCells count="35">
    <mergeCell ref="E36:F36"/>
    <mergeCell ref="E26:F26"/>
    <mergeCell ref="E27:F27"/>
    <mergeCell ref="E28:F28"/>
    <mergeCell ref="E29:F29"/>
    <mergeCell ref="E34:F34"/>
    <mergeCell ref="E35:F35"/>
    <mergeCell ref="E33:F33"/>
    <mergeCell ref="C34:D34"/>
    <mergeCell ref="C35:D35"/>
    <mergeCell ref="C36:D36"/>
    <mergeCell ref="C20:D20"/>
    <mergeCell ref="C21:D21"/>
    <mergeCell ref="C22:D22"/>
    <mergeCell ref="C23:D23"/>
    <mergeCell ref="C24:D24"/>
    <mergeCell ref="C25:D25"/>
    <mergeCell ref="C27:D27"/>
    <mergeCell ref="C28:D28"/>
    <mergeCell ref="C29:D29"/>
    <mergeCell ref="C30:D30"/>
    <mergeCell ref="C26:D26"/>
    <mergeCell ref="C33:D33"/>
    <mergeCell ref="E25:F25"/>
    <mergeCell ref="A1:I1"/>
    <mergeCell ref="E30:F30"/>
    <mergeCell ref="E31:F31"/>
    <mergeCell ref="E32:F32"/>
    <mergeCell ref="C31:D31"/>
    <mergeCell ref="C32:D32"/>
    <mergeCell ref="E20:F20"/>
    <mergeCell ref="E21:F21"/>
    <mergeCell ref="E22:F22"/>
    <mergeCell ref="E23:F23"/>
    <mergeCell ref="E24:F24"/>
  </mergeCells>
  <conditionalFormatting sqref="H3:I18">
    <cfRule type="cellIs" dxfId="17" priority="1" operator="equal">
      <formula>0</formula>
    </cfRule>
    <cfRule type="cellIs" dxfId="16" priority="2" operator="greaterThan">
      <formula>0</formula>
    </cfRule>
    <cfRule type="cellIs" dxfId="15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6"/>
  <sheetViews>
    <sheetView zoomScale="115" zoomScaleNormal="115" workbookViewId="0">
      <selection sqref="A1:I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8" width="15.285156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60" t="s">
        <v>88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52</v>
      </c>
      <c r="C3" s="21" t="s">
        <v>74</v>
      </c>
      <c r="D3" s="1">
        <v>6</v>
      </c>
      <c r="E3" s="1">
        <v>1</v>
      </c>
      <c r="F3" s="1">
        <v>1</v>
      </c>
      <c r="G3" s="24">
        <v>26.8</v>
      </c>
      <c r="H3" s="2">
        <f>E3-F3</f>
        <v>0</v>
      </c>
      <c r="I3" s="2">
        <f>ROUND(IF(C3="WR", H3, IF(C3="RB", H3*1.326, IF(C3="QB", H3*3.145, IF(C3="TE", H3*3.495, IF(C3="K", H3*8.65, IF(C3="D/ST", H3*10.813, "ERROR")))))),0)</f>
        <v>0</v>
      </c>
      <c r="K3" s="16" t="s">
        <v>16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21</v>
      </c>
      <c r="C4" s="21" t="s">
        <v>73</v>
      </c>
      <c r="D4" s="1">
        <v>15</v>
      </c>
      <c r="E4" s="1">
        <v>1</v>
      </c>
      <c r="F4" s="1">
        <v>25</v>
      </c>
      <c r="G4" s="24">
        <v>10.9</v>
      </c>
      <c r="H4" s="3">
        <f t="shared" ref="H4:H18" si="0">E4-F4</f>
        <v>-24</v>
      </c>
      <c r="I4" s="3">
        <f t="shared" ref="I4:I18" si="1">ROUND(IF(C4="WR", H4, IF(C4="RB", H4*1.326, IF(C4="QB", H4*3.145, IF(C4="TE", H4*3.495, IF(C4="K", H4*8.65, IF(C4="D/ST", H4*10.813, "ERROR")))))),0)</f>
        <v>-84</v>
      </c>
      <c r="K4" s="17" t="s">
        <v>18</v>
      </c>
      <c r="L4" s="11">
        <f ca="1">CountCellsByColor(B3:B18,K4)</f>
        <v>9</v>
      </c>
    </row>
    <row r="5" spans="1:13" ht="21" customHeight="1" x14ac:dyDescent="0.25">
      <c r="A5" s="7">
        <v>3</v>
      </c>
      <c r="B5" s="4" t="s">
        <v>143</v>
      </c>
      <c r="C5" s="21" t="s">
        <v>72</v>
      </c>
      <c r="D5" s="1">
        <f>(D3+20)</f>
        <v>26</v>
      </c>
      <c r="E5" s="1">
        <v>12</v>
      </c>
      <c r="F5" s="1">
        <v>3</v>
      </c>
      <c r="G5" s="24">
        <v>18.899999999999999</v>
      </c>
      <c r="H5" s="3">
        <f t="shared" si="0"/>
        <v>9</v>
      </c>
      <c r="I5" s="3">
        <f t="shared" si="1"/>
        <v>12</v>
      </c>
      <c r="K5" s="18" t="s">
        <v>17</v>
      </c>
      <c r="L5" s="11">
        <f ca="1">CountCellsByColor(B3:B18,K5)</f>
        <v>0</v>
      </c>
    </row>
    <row r="6" spans="1:13" ht="21" customHeight="1" x14ac:dyDescent="0.25">
      <c r="A6" s="7">
        <v>4</v>
      </c>
      <c r="B6" s="12" t="s">
        <v>144</v>
      </c>
      <c r="C6" s="21" t="s">
        <v>72</v>
      </c>
      <c r="D6" s="1">
        <f>(D4+20)</f>
        <v>35</v>
      </c>
      <c r="E6" s="1">
        <v>16</v>
      </c>
      <c r="F6" s="1">
        <v>105</v>
      </c>
      <c r="G6" s="24">
        <v>3.2</v>
      </c>
      <c r="H6" s="3">
        <f t="shared" si="0"/>
        <v>-89</v>
      </c>
      <c r="I6" s="3">
        <f t="shared" si="1"/>
        <v>-118</v>
      </c>
      <c r="K6" s="15" t="s">
        <v>19</v>
      </c>
      <c r="L6" s="11">
        <f ca="1">CountCellsByColor(B3:B18,K6)</f>
        <v>0</v>
      </c>
    </row>
    <row r="7" spans="1:13" ht="21" customHeight="1" x14ac:dyDescent="0.25">
      <c r="A7" s="7">
        <v>5</v>
      </c>
      <c r="B7" s="12" t="s">
        <v>56</v>
      </c>
      <c r="C7" s="21" t="s">
        <v>72</v>
      </c>
      <c r="D7" s="1">
        <f t="shared" ref="D7:D18" si="2">(D5+20)</f>
        <v>46</v>
      </c>
      <c r="E7" s="1">
        <v>20</v>
      </c>
      <c r="F7" s="1">
        <v>23</v>
      </c>
      <c r="G7" s="24">
        <v>9.4</v>
      </c>
      <c r="H7" s="3">
        <f t="shared" si="0"/>
        <v>-3</v>
      </c>
      <c r="I7" s="3">
        <f t="shared" si="1"/>
        <v>-4</v>
      </c>
      <c r="K7" s="36"/>
      <c r="L7" s="36"/>
      <c r="M7" s="36"/>
    </row>
    <row r="8" spans="1:13" ht="21" customHeight="1" x14ac:dyDescent="0.25">
      <c r="A8" s="7">
        <v>6</v>
      </c>
      <c r="B8" s="4" t="s">
        <v>145</v>
      </c>
      <c r="C8" s="21" t="s">
        <v>75</v>
      </c>
      <c r="D8" s="1">
        <f t="shared" si="2"/>
        <v>55</v>
      </c>
      <c r="E8" s="1">
        <v>3</v>
      </c>
      <c r="F8" s="1">
        <v>46</v>
      </c>
      <c r="G8" s="24">
        <v>5.5</v>
      </c>
      <c r="H8" s="2">
        <f t="shared" si="0"/>
        <v>-43</v>
      </c>
      <c r="I8" s="2">
        <f t="shared" si="1"/>
        <v>-135</v>
      </c>
      <c r="K8" s="37"/>
      <c r="L8" s="38"/>
      <c r="M8" s="38"/>
    </row>
    <row r="9" spans="1:13" ht="21" customHeight="1" x14ac:dyDescent="0.25">
      <c r="A9" s="7">
        <v>7</v>
      </c>
      <c r="B9" s="4" t="s">
        <v>146</v>
      </c>
      <c r="C9" s="21" t="s">
        <v>72</v>
      </c>
      <c r="D9" s="1">
        <f t="shared" si="2"/>
        <v>66</v>
      </c>
      <c r="E9" s="1">
        <v>27</v>
      </c>
      <c r="F9" s="1">
        <v>63</v>
      </c>
      <c r="G9" s="24">
        <v>1</v>
      </c>
      <c r="H9" s="3">
        <f t="shared" si="0"/>
        <v>-36</v>
      </c>
      <c r="I9" s="3">
        <f t="shared" si="1"/>
        <v>-48</v>
      </c>
      <c r="K9" s="37"/>
      <c r="L9" s="38"/>
      <c r="M9" s="38"/>
    </row>
    <row r="10" spans="1:13" ht="21" customHeight="1" x14ac:dyDescent="0.25">
      <c r="A10" s="7">
        <v>8</v>
      </c>
      <c r="B10" s="12" t="s">
        <v>22</v>
      </c>
      <c r="C10" s="21" t="s">
        <v>74</v>
      </c>
      <c r="D10" s="1">
        <f t="shared" si="2"/>
        <v>75</v>
      </c>
      <c r="E10" s="1">
        <v>31</v>
      </c>
      <c r="F10" s="1">
        <v>5</v>
      </c>
      <c r="G10" s="24">
        <v>16.100000000000001</v>
      </c>
      <c r="H10" s="3">
        <f t="shared" si="0"/>
        <v>26</v>
      </c>
      <c r="I10" s="3">
        <f t="shared" si="1"/>
        <v>26</v>
      </c>
      <c r="K10" s="37"/>
      <c r="L10" s="39"/>
      <c r="M10" s="28"/>
    </row>
    <row r="11" spans="1:13" ht="21" customHeight="1" x14ac:dyDescent="0.25">
      <c r="A11" s="7">
        <v>9</v>
      </c>
      <c r="B11" s="12" t="s">
        <v>147</v>
      </c>
      <c r="C11" s="21" t="s">
        <v>74</v>
      </c>
      <c r="D11" s="1">
        <f t="shared" si="2"/>
        <v>86</v>
      </c>
      <c r="E11" s="1">
        <v>36</v>
      </c>
      <c r="F11" s="1">
        <v>31</v>
      </c>
      <c r="G11" s="24">
        <v>9.5</v>
      </c>
      <c r="H11" s="3">
        <f t="shared" si="0"/>
        <v>5</v>
      </c>
      <c r="I11" s="3">
        <f t="shared" si="1"/>
        <v>5</v>
      </c>
      <c r="K11" s="37"/>
      <c r="L11" s="31"/>
      <c r="M11" s="31"/>
    </row>
    <row r="12" spans="1:13" ht="21" customHeight="1" x14ac:dyDescent="0.25">
      <c r="A12" s="7">
        <v>10</v>
      </c>
      <c r="B12" s="4" t="s">
        <v>55</v>
      </c>
      <c r="C12" s="21" t="s">
        <v>74</v>
      </c>
      <c r="D12" s="1">
        <f t="shared" si="2"/>
        <v>95</v>
      </c>
      <c r="E12" s="1">
        <v>41</v>
      </c>
      <c r="F12" s="1">
        <v>71</v>
      </c>
      <c r="G12" s="24">
        <v>2.2999999999999998</v>
      </c>
      <c r="H12" s="3">
        <f t="shared" si="0"/>
        <v>-30</v>
      </c>
      <c r="I12" s="3">
        <f t="shared" si="1"/>
        <v>-30</v>
      </c>
      <c r="K12" s="37"/>
      <c r="L12" s="31"/>
      <c r="M12" s="31"/>
    </row>
    <row r="13" spans="1:13" ht="21" customHeight="1" x14ac:dyDescent="0.25">
      <c r="A13" s="7">
        <v>11</v>
      </c>
      <c r="B13" s="12" t="s">
        <v>148</v>
      </c>
      <c r="C13" s="21" t="s">
        <v>74</v>
      </c>
      <c r="D13" s="1">
        <f t="shared" si="2"/>
        <v>106</v>
      </c>
      <c r="E13" s="1">
        <v>46</v>
      </c>
      <c r="F13" s="1">
        <v>4</v>
      </c>
      <c r="G13" s="24">
        <v>20.399999999999999</v>
      </c>
      <c r="H13" s="3">
        <f t="shared" si="0"/>
        <v>42</v>
      </c>
      <c r="I13" s="3">
        <f t="shared" si="1"/>
        <v>42</v>
      </c>
      <c r="K13" s="37"/>
      <c r="L13" s="31"/>
      <c r="M13" s="31"/>
    </row>
    <row r="14" spans="1:13" ht="21" customHeight="1" x14ac:dyDescent="0.25">
      <c r="A14" s="7">
        <v>12</v>
      </c>
      <c r="B14" s="4" t="s">
        <v>69</v>
      </c>
      <c r="C14" s="21" t="s">
        <v>72</v>
      </c>
      <c r="D14" s="1">
        <f t="shared" si="2"/>
        <v>115</v>
      </c>
      <c r="E14" s="1">
        <v>53</v>
      </c>
      <c r="F14" s="1">
        <v>77</v>
      </c>
      <c r="G14" s="24">
        <v>4.5999999999999996</v>
      </c>
      <c r="H14" s="3">
        <f t="shared" si="0"/>
        <v>-24</v>
      </c>
      <c r="I14" s="3">
        <f t="shared" si="1"/>
        <v>-32</v>
      </c>
      <c r="K14" s="37"/>
      <c r="L14" s="31"/>
      <c r="M14" s="31"/>
    </row>
    <row r="15" spans="1:13" ht="21" customHeight="1" x14ac:dyDescent="0.25">
      <c r="A15" s="7">
        <v>13</v>
      </c>
      <c r="B15" s="12" t="s">
        <v>149</v>
      </c>
      <c r="C15" s="21" t="s">
        <v>74</v>
      </c>
      <c r="D15" s="1">
        <f t="shared" si="2"/>
        <v>126</v>
      </c>
      <c r="E15" s="1">
        <v>55</v>
      </c>
      <c r="F15" s="1">
        <v>21</v>
      </c>
      <c r="G15" s="24">
        <v>6.4</v>
      </c>
      <c r="H15" s="2">
        <f t="shared" si="0"/>
        <v>34</v>
      </c>
      <c r="I15" s="2">
        <f t="shared" si="1"/>
        <v>34</v>
      </c>
      <c r="K15" s="37"/>
      <c r="L15" s="31"/>
      <c r="M15" s="31"/>
    </row>
    <row r="16" spans="1:13" ht="21" customHeight="1" x14ac:dyDescent="0.25">
      <c r="A16" s="7">
        <v>14</v>
      </c>
      <c r="B16" s="12" t="s">
        <v>150</v>
      </c>
      <c r="C16" s="21" t="s">
        <v>77</v>
      </c>
      <c r="D16" s="1">
        <f t="shared" si="2"/>
        <v>135</v>
      </c>
      <c r="E16" s="1">
        <v>5</v>
      </c>
      <c r="F16" s="1">
        <v>113</v>
      </c>
      <c r="G16" s="24">
        <v>2.6</v>
      </c>
      <c r="H16" s="3">
        <f t="shared" si="0"/>
        <v>-108</v>
      </c>
      <c r="I16" s="3">
        <f t="shared" si="1"/>
        <v>-1168</v>
      </c>
      <c r="K16" s="37"/>
      <c r="L16" s="40"/>
      <c r="M16" s="40"/>
    </row>
    <row r="17" spans="1:13" ht="21" customHeight="1" x14ac:dyDescent="0.25">
      <c r="A17" s="7">
        <v>15</v>
      </c>
      <c r="B17" s="12" t="s">
        <v>151</v>
      </c>
      <c r="C17" s="21" t="s">
        <v>72</v>
      </c>
      <c r="D17" s="1">
        <f t="shared" si="2"/>
        <v>146</v>
      </c>
      <c r="E17" s="1">
        <v>59</v>
      </c>
      <c r="F17" s="1">
        <v>26</v>
      </c>
      <c r="G17" s="24">
        <v>12.6</v>
      </c>
      <c r="H17" s="3">
        <f t="shared" si="0"/>
        <v>33</v>
      </c>
      <c r="I17" s="3">
        <f t="shared" si="1"/>
        <v>44</v>
      </c>
      <c r="K17" s="37"/>
      <c r="L17" s="40"/>
      <c r="M17" s="40"/>
    </row>
    <row r="18" spans="1:13" ht="21" customHeight="1" x14ac:dyDescent="0.25">
      <c r="A18" s="7">
        <v>16</v>
      </c>
      <c r="B18" s="12" t="s">
        <v>152</v>
      </c>
      <c r="C18" s="21" t="s">
        <v>76</v>
      </c>
      <c r="D18" s="1">
        <f t="shared" si="2"/>
        <v>155</v>
      </c>
      <c r="E18" s="1">
        <v>10</v>
      </c>
      <c r="F18" s="1">
        <v>28</v>
      </c>
      <c r="G18" s="24">
        <v>2.2000000000000002</v>
      </c>
      <c r="H18" s="19">
        <f t="shared" si="0"/>
        <v>-18</v>
      </c>
      <c r="I18" s="19">
        <f t="shared" si="1"/>
        <v>-156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79</v>
      </c>
      <c r="D20" s="61"/>
      <c r="E20" s="61" t="s">
        <v>80</v>
      </c>
      <c r="F20" s="61"/>
      <c r="K20" s="37"/>
      <c r="L20" s="40"/>
      <c r="M20" s="40"/>
    </row>
    <row r="21" spans="1:13" ht="21" customHeight="1" x14ac:dyDescent="0.25">
      <c r="B21" s="35" t="s">
        <v>12</v>
      </c>
      <c r="C21" s="59">
        <f>SUM(H3:H18)</f>
        <v>-226</v>
      </c>
      <c r="D21" s="59"/>
      <c r="E21" s="59">
        <f>SUM(I3:I18)</f>
        <v>-1612</v>
      </c>
      <c r="F21" s="59"/>
      <c r="K21" s="37"/>
      <c r="L21" s="40"/>
      <c r="M21" s="40"/>
    </row>
    <row r="22" spans="1:13" ht="21" customHeight="1" x14ac:dyDescent="0.25">
      <c r="B22" s="35" t="s">
        <v>13</v>
      </c>
      <c r="C22" s="59">
        <f>C21/16</f>
        <v>-14.125</v>
      </c>
      <c r="D22" s="59"/>
      <c r="E22" s="59">
        <f>E21/16</f>
        <v>-100.75</v>
      </c>
      <c r="F22" s="59"/>
    </row>
    <row r="23" spans="1:13" ht="21" customHeight="1" x14ac:dyDescent="0.25">
      <c r="B23" s="35" t="s">
        <v>84</v>
      </c>
      <c r="C23" s="56">
        <f>AVERAGE(G3:G18)</f>
        <v>9.5249999999999986</v>
      </c>
      <c r="D23" s="56"/>
      <c r="E23" s="57"/>
      <c r="F23" s="57"/>
    </row>
    <row r="24" spans="1:13" ht="31.5" customHeight="1" x14ac:dyDescent="0.25">
      <c r="B24" s="35" t="s">
        <v>85</v>
      </c>
      <c r="C24" s="54" t="str">
        <f>INDEX(B3:B18,MATCH(MAX(G3:G18),G3:G18,0),1) &amp; " at " &amp; MAX(G3:G18) &amp; " average points."</f>
        <v>DeAndre Hopkins at 26.8 average points.</v>
      </c>
      <c r="D24" s="54"/>
      <c r="E24" s="58"/>
      <c r="F24" s="58"/>
    </row>
    <row r="25" spans="1:13" ht="31.5" customHeight="1" x14ac:dyDescent="0.25">
      <c r="B25" s="35" t="s">
        <v>86</v>
      </c>
      <c r="C25" s="54" t="str">
        <f>INDEX(B3:B18,MATCH(MIN(G3:G18),G3:G18,0),1) &amp; " at " &amp; MIN(G3:G18) &amp; " average points."</f>
        <v>David Montgomery at 1 average points.</v>
      </c>
      <c r="D25" s="54"/>
      <c r="E25" s="58"/>
      <c r="F25" s="58"/>
    </row>
    <row r="26" spans="1:13" ht="31.5" customHeight="1" x14ac:dyDescent="0.25">
      <c r="B26" s="35" t="s">
        <v>14</v>
      </c>
      <c r="C26" s="54" t="str">
        <f>INDEX(B3:B18,MATCH(MAX(H3:H18),H3:H18,0),1) &amp; " at a " &amp; MAX(H3:H18) &amp; " differential."</f>
        <v>Curtis Samuel at a 42 differential.</v>
      </c>
      <c r="D26" s="54"/>
      <c r="E26" s="54" t="str">
        <f>INDEX(B3:B18,MATCH(MAX(I3:I18),I3:I18,0),1) &amp; " at a " &amp; MAX(I3:I18) &amp; " differential."</f>
        <v>Kalen Ballage at a 44 differential.</v>
      </c>
      <c r="F26" s="54"/>
    </row>
    <row r="27" spans="1:13" ht="31.5" customHeight="1" x14ac:dyDescent="0.25">
      <c r="B27" s="35" t="s">
        <v>24</v>
      </c>
      <c r="C27" s="54" t="str">
        <f>INDEX(B3:B18,MATCH(MIN(H3:H18),H3:H18,0),1) &amp; " at a " &amp; MIN(H3:H18) &amp; " differential."</f>
        <v>Vikings D/ST at a -108 differential.</v>
      </c>
      <c r="D27" s="54"/>
      <c r="E27" s="54" t="str">
        <f>INDEX(B3:B18,MATCH(MIN(I3:I18),I3:I18,0),1) &amp; " at a " &amp; MIN(I3:I18) &amp; " differential."</f>
        <v>Vikings D/ST at a -1168 differential.</v>
      </c>
      <c r="F27" s="54"/>
    </row>
    <row r="28" spans="1:13" ht="31.5" customHeight="1" x14ac:dyDescent="0.25">
      <c r="B28" s="35" t="s">
        <v>25</v>
      </c>
      <c r="C28" s="54" t="str">
        <f ca="1">INDEX(B3:B18,MATCH(MinMinusCellColorOfRelatedRow(B3:B18, H3:H18, K5),H3:H18,0),1) &amp; " at a " &amp; MinMinusCellColorOfRelatedRow(B3:B18, H3:H18, K5) &amp; " differential."</f>
        <v>Vikings D/ST at a -108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Vikings D/ST at a -1168 differential.</v>
      </c>
      <c r="F28" s="54"/>
    </row>
    <row r="29" spans="1:13" ht="21" customHeight="1" x14ac:dyDescent="0.25">
      <c r="B29" s="35" t="s">
        <v>81</v>
      </c>
      <c r="C29" s="54" t="str">
        <f ca="1">GetBetterDraftPick(MinMinusCellColorOfRelatedRow(B3:B18, H3:H18, K5), INDEX(D3:D18,MATCH(MinMinusCellColorOfRelatedRow(B3:B18, H3:H18, K5),H3:H18,0),1), "Tim")</f>
        <v>Kenyan Drake</v>
      </c>
      <c r="D29" s="54"/>
      <c r="E29" s="55" t="str">
        <f ca="1">GetBetterDraftPick(MinMinusCellColorOfRelatedRow(B3:B18, I3:I18, K5), INDEX(D3:D18,MATCH(MinMinusCellColorOfRelatedRow(B3:B18, I3:I18, K5),I3:I18,0),1), A1)</f>
        <v>Kenyan Drake</v>
      </c>
      <c r="F29" s="55"/>
    </row>
    <row r="30" spans="1:13" ht="21" customHeight="1" x14ac:dyDescent="0.25">
      <c r="B30" s="35" t="s">
        <v>83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Eagles D/ST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Eagles D/ST</v>
      </c>
      <c r="F30" s="54"/>
    </row>
    <row r="31" spans="1:13" ht="21" customHeight="1" x14ac:dyDescent="0.25">
      <c r="B31" s="35" t="s">
        <v>33</v>
      </c>
      <c r="C31" s="53">
        <f ca="1">SumCellsInRowByColor(B3:B18, H3:H18, K3)</f>
        <v>-148</v>
      </c>
      <c r="D31" s="53"/>
      <c r="E31" s="53">
        <f ca="1">SumCellsInRowByColor(B3:B18, I3:I18, K3)</f>
        <v>-317</v>
      </c>
      <c r="F31" s="53"/>
    </row>
    <row r="32" spans="1:13" ht="21" customHeight="1" x14ac:dyDescent="0.25">
      <c r="B32" s="35" t="s">
        <v>37</v>
      </c>
      <c r="C32" s="53">
        <f ca="1">C31/L3</f>
        <v>-21.142857142857142</v>
      </c>
      <c r="D32" s="53"/>
      <c r="E32" s="53">
        <f ca="1">E31/L3</f>
        <v>-45.285714285714285</v>
      </c>
      <c r="F32" s="53"/>
    </row>
    <row r="33" spans="2:6" ht="21" customHeight="1" x14ac:dyDescent="0.25">
      <c r="B33" s="35" t="s">
        <v>34</v>
      </c>
      <c r="C33" s="53">
        <f ca="1">SumCellsInRowByColor(B3:B18, H3:H18, K4)</f>
        <v>-78</v>
      </c>
      <c r="D33" s="53"/>
      <c r="E33" s="53">
        <f ca="1">SumCellsInRowByColor(B3:B18, I3:I18, K4)</f>
        <v>-1295</v>
      </c>
      <c r="F33" s="53"/>
    </row>
    <row r="34" spans="2:6" ht="21" customHeight="1" x14ac:dyDescent="0.25">
      <c r="B34" s="35" t="s">
        <v>35</v>
      </c>
      <c r="C34" s="53">
        <f ca="1">C33/L4</f>
        <v>-8.6666666666666661</v>
      </c>
      <c r="D34" s="53"/>
      <c r="E34" s="53">
        <f ca="1">E33/L4</f>
        <v>-143.88888888888889</v>
      </c>
      <c r="F34" s="53"/>
    </row>
    <row r="35" spans="2:6" ht="21" customHeight="1" x14ac:dyDescent="0.25">
      <c r="B35" s="35" t="s">
        <v>36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38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F24"/>
    <mergeCell ref="C25:D25"/>
    <mergeCell ref="E25:F25"/>
    <mergeCell ref="E31:F31"/>
    <mergeCell ref="C26:D26"/>
    <mergeCell ref="E26:F26"/>
    <mergeCell ref="C27:D27"/>
    <mergeCell ref="E27:F27"/>
    <mergeCell ref="C28:D28"/>
    <mergeCell ref="E28:F28"/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</mergeCells>
  <conditionalFormatting sqref="H3:I18">
    <cfRule type="cellIs" dxfId="14" priority="1" operator="equal">
      <formula>0</formula>
    </cfRule>
    <cfRule type="cellIs" dxfId="13" priority="2" operator="greaterThan">
      <formula>0</formula>
    </cfRule>
    <cfRule type="cellIs" dxfId="12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6"/>
  <sheetViews>
    <sheetView zoomScale="115" zoomScaleNormal="115" workbookViewId="0">
      <selection sqref="A1:I1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2" width="36.140625" bestFit="1" customWidth="1"/>
    <col min="13" max="13" width="31.5703125" bestFit="1" customWidth="1"/>
  </cols>
  <sheetData>
    <row r="1" spans="1:13" s="42" customFormat="1" ht="22.5" customHeight="1" x14ac:dyDescent="0.25">
      <c r="A1" s="60" t="s">
        <v>196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106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107</v>
      </c>
      <c r="C3" s="21" t="s">
        <v>74</v>
      </c>
      <c r="D3" s="1">
        <v>7</v>
      </c>
      <c r="E3" s="1">
        <v>2</v>
      </c>
      <c r="F3" s="1">
        <v>26</v>
      </c>
      <c r="G3" s="24">
        <v>9.9</v>
      </c>
      <c r="H3" s="2">
        <f>E3-F3</f>
        <v>-24</v>
      </c>
      <c r="I3" s="2">
        <f>ROUND(IF(C3="WR", H3, IF(C3="RB", H3*1.326, IF(C3="QB", H3*3.145, IF(C3="TE", H3*3.495, IF(C3="K", H3*8.65, IF(C3="D/ST", H3*10.813, "ERROR")))))),0)</f>
        <v>-24</v>
      </c>
      <c r="K3" s="16" t="s">
        <v>16</v>
      </c>
      <c r="L3" s="11">
        <f ca="1">CountCellsByColor(B3:B18,K3)</f>
        <v>9</v>
      </c>
    </row>
    <row r="4" spans="1:13" ht="21" customHeight="1" x14ac:dyDescent="0.25">
      <c r="A4" s="7">
        <v>2</v>
      </c>
      <c r="B4" s="4" t="s">
        <v>26</v>
      </c>
      <c r="C4" s="21" t="s">
        <v>74</v>
      </c>
      <c r="D4" s="1">
        <v>14</v>
      </c>
      <c r="E4" s="1">
        <v>6</v>
      </c>
      <c r="F4" s="1">
        <v>32</v>
      </c>
      <c r="G4" s="24">
        <v>9.3000000000000007</v>
      </c>
      <c r="H4" s="3">
        <f t="shared" ref="H4:H17" si="0">E4-F4</f>
        <v>-26</v>
      </c>
      <c r="I4" s="3">
        <f t="shared" ref="I4:I18" si="1">ROUND(IF(C4="WR", H4, IF(C4="RB", H4*1.326, IF(C4="QB", H4*3.145, IF(C4="TE", H4*3.495, IF(C4="K", H4*8.65, IF(C4="D/ST", H4*10.813, "ERROR")))))),0)</f>
        <v>-26</v>
      </c>
      <c r="K4" s="17" t="s">
        <v>18</v>
      </c>
      <c r="L4" s="11">
        <f ca="1">CountCellsByColor(B3:B18,K4)</f>
        <v>4</v>
      </c>
    </row>
    <row r="5" spans="1:13" ht="21" customHeight="1" x14ac:dyDescent="0.25">
      <c r="A5" s="7">
        <v>3</v>
      </c>
      <c r="B5" s="4" t="s">
        <v>59</v>
      </c>
      <c r="C5" s="21" t="s">
        <v>74</v>
      </c>
      <c r="D5" s="1">
        <f>(D3+20)</f>
        <v>27</v>
      </c>
      <c r="E5" s="1">
        <v>12</v>
      </c>
      <c r="F5" s="1">
        <v>19</v>
      </c>
      <c r="G5" s="24">
        <v>11.4</v>
      </c>
      <c r="H5" s="3">
        <f t="shared" si="0"/>
        <v>-7</v>
      </c>
      <c r="I5" s="3">
        <f t="shared" si="1"/>
        <v>-7</v>
      </c>
      <c r="K5" s="18" t="s">
        <v>17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31</v>
      </c>
      <c r="C6" s="21" t="s">
        <v>74</v>
      </c>
      <c r="D6" s="1">
        <f>(D4+20)</f>
        <v>34</v>
      </c>
      <c r="E6" s="1">
        <v>15</v>
      </c>
      <c r="F6" s="1">
        <v>9</v>
      </c>
      <c r="G6" s="24">
        <v>13.3</v>
      </c>
      <c r="H6" s="3">
        <f t="shared" si="0"/>
        <v>6</v>
      </c>
      <c r="I6" s="3">
        <f t="shared" si="1"/>
        <v>6</v>
      </c>
      <c r="K6" s="15" t="s">
        <v>19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5</v>
      </c>
      <c r="C7" s="21" t="s">
        <v>72</v>
      </c>
      <c r="D7" s="1">
        <f t="shared" ref="D7:D18" si="2">(D5+20)</f>
        <v>47</v>
      </c>
      <c r="E7" s="1">
        <v>21</v>
      </c>
      <c r="F7" s="1">
        <v>37</v>
      </c>
      <c r="G7" s="24">
        <v>9.1</v>
      </c>
      <c r="H7" s="3">
        <f t="shared" si="0"/>
        <v>-16</v>
      </c>
      <c r="I7" s="3">
        <f t="shared" si="1"/>
        <v>-21</v>
      </c>
      <c r="K7" s="36"/>
      <c r="L7" s="36"/>
      <c r="M7" s="36"/>
    </row>
    <row r="8" spans="1:13" ht="21" customHeight="1" x14ac:dyDescent="0.25">
      <c r="A8" s="7">
        <v>6</v>
      </c>
      <c r="B8" s="4" t="s">
        <v>41</v>
      </c>
      <c r="C8" s="21" t="s">
        <v>72</v>
      </c>
      <c r="D8" s="1">
        <f t="shared" si="2"/>
        <v>54</v>
      </c>
      <c r="E8" s="1">
        <v>24</v>
      </c>
      <c r="F8" s="1">
        <v>18</v>
      </c>
      <c r="G8" s="24">
        <v>9.8000000000000007</v>
      </c>
      <c r="H8" s="2">
        <f t="shared" si="0"/>
        <v>6</v>
      </c>
      <c r="I8" s="2">
        <f t="shared" si="1"/>
        <v>8</v>
      </c>
      <c r="K8" s="37"/>
      <c r="L8" s="38"/>
      <c r="M8" s="38"/>
    </row>
    <row r="9" spans="1:13" ht="21" customHeight="1" x14ac:dyDescent="0.25">
      <c r="A9" s="7">
        <v>7</v>
      </c>
      <c r="B9" s="52" t="s">
        <v>42</v>
      </c>
      <c r="C9" s="21" t="s">
        <v>72</v>
      </c>
      <c r="D9" s="1">
        <f t="shared" si="2"/>
        <v>67</v>
      </c>
      <c r="E9" s="1">
        <v>28</v>
      </c>
      <c r="F9" s="1">
        <v>27</v>
      </c>
      <c r="G9" s="24">
        <v>13.3</v>
      </c>
      <c r="H9" s="3">
        <f t="shared" si="0"/>
        <v>1</v>
      </c>
      <c r="I9" s="3">
        <f t="shared" si="1"/>
        <v>1</v>
      </c>
      <c r="K9" s="37"/>
      <c r="L9" s="38"/>
      <c r="M9" s="38"/>
    </row>
    <row r="10" spans="1:13" ht="21" customHeight="1" x14ac:dyDescent="0.25">
      <c r="A10" s="7">
        <v>8</v>
      </c>
      <c r="B10" s="52" t="s">
        <v>8</v>
      </c>
      <c r="C10" s="21" t="s">
        <v>75</v>
      </c>
      <c r="D10" s="1">
        <f t="shared" si="2"/>
        <v>74</v>
      </c>
      <c r="E10" s="1">
        <v>8</v>
      </c>
      <c r="F10" s="1">
        <v>53</v>
      </c>
      <c r="G10" s="24">
        <v>0</v>
      </c>
      <c r="H10" s="3">
        <f t="shared" si="0"/>
        <v>-45</v>
      </c>
      <c r="I10" s="3">
        <f t="shared" si="1"/>
        <v>-142</v>
      </c>
      <c r="K10" s="37"/>
      <c r="L10" s="39"/>
      <c r="M10" s="28"/>
    </row>
    <row r="11" spans="1:13" ht="21" customHeight="1" x14ac:dyDescent="0.25">
      <c r="A11" s="7">
        <v>9</v>
      </c>
      <c r="B11" s="52" t="s">
        <v>108</v>
      </c>
      <c r="C11" s="21" t="s">
        <v>73</v>
      </c>
      <c r="D11" s="1">
        <f t="shared" si="2"/>
        <v>87</v>
      </c>
      <c r="E11" s="1">
        <v>8</v>
      </c>
      <c r="F11" s="1">
        <v>51</v>
      </c>
      <c r="G11" s="24">
        <v>1.9</v>
      </c>
      <c r="H11" s="3">
        <f t="shared" si="0"/>
        <v>-43</v>
      </c>
      <c r="I11" s="3">
        <f t="shared" si="1"/>
        <v>-150</v>
      </c>
      <c r="K11" s="37"/>
      <c r="L11" s="31"/>
      <c r="M11" s="31"/>
    </row>
    <row r="12" spans="1:13" ht="21" customHeight="1" x14ac:dyDescent="0.25">
      <c r="A12" s="7">
        <v>10</v>
      </c>
      <c r="B12" s="4" t="s">
        <v>109</v>
      </c>
      <c r="C12" s="21" t="s">
        <v>73</v>
      </c>
      <c r="D12" s="1">
        <f t="shared" si="2"/>
        <v>94</v>
      </c>
      <c r="E12" s="1">
        <v>9</v>
      </c>
      <c r="F12" s="1">
        <v>19</v>
      </c>
      <c r="G12" s="24">
        <v>5.6</v>
      </c>
      <c r="H12" s="3">
        <f t="shared" si="0"/>
        <v>-10</v>
      </c>
      <c r="I12" s="3">
        <f t="shared" si="1"/>
        <v>-35</v>
      </c>
      <c r="K12" s="37"/>
      <c r="L12" s="31"/>
      <c r="M12" s="31"/>
    </row>
    <row r="13" spans="1:13" ht="21" customHeight="1" x14ac:dyDescent="0.25">
      <c r="A13" s="7">
        <v>11</v>
      </c>
      <c r="B13" s="4" t="s">
        <v>47</v>
      </c>
      <c r="C13" s="21" t="s">
        <v>72</v>
      </c>
      <c r="D13" s="1">
        <f t="shared" si="2"/>
        <v>107</v>
      </c>
      <c r="E13" s="1">
        <v>40</v>
      </c>
      <c r="F13" s="1">
        <v>31</v>
      </c>
      <c r="G13" s="24">
        <v>8.3000000000000007</v>
      </c>
      <c r="H13" s="3">
        <f t="shared" si="0"/>
        <v>9</v>
      </c>
      <c r="I13" s="3">
        <f t="shared" si="1"/>
        <v>12</v>
      </c>
      <c r="K13" s="37"/>
      <c r="L13" s="31"/>
      <c r="M13" s="31"/>
    </row>
    <row r="14" spans="1:13" ht="21" customHeight="1" x14ac:dyDescent="0.25">
      <c r="A14" s="7">
        <v>12</v>
      </c>
      <c r="B14" s="12" t="s">
        <v>61</v>
      </c>
      <c r="C14" s="21" t="s">
        <v>74</v>
      </c>
      <c r="D14" s="1">
        <f t="shared" si="2"/>
        <v>114</v>
      </c>
      <c r="E14" s="1">
        <v>50</v>
      </c>
      <c r="F14" s="1">
        <v>63</v>
      </c>
      <c r="G14" s="24">
        <v>7.1</v>
      </c>
      <c r="H14" s="3">
        <f t="shared" si="0"/>
        <v>-13</v>
      </c>
      <c r="I14" s="3">
        <f t="shared" si="1"/>
        <v>-13</v>
      </c>
      <c r="K14" s="37"/>
      <c r="L14" s="31"/>
      <c r="M14" s="31"/>
    </row>
    <row r="15" spans="1:13" ht="21" customHeight="1" x14ac:dyDescent="0.25">
      <c r="A15" s="7">
        <v>13</v>
      </c>
      <c r="B15" s="4" t="s">
        <v>68</v>
      </c>
      <c r="C15" s="21" t="s">
        <v>75</v>
      </c>
      <c r="D15" s="1">
        <f t="shared" si="2"/>
        <v>127</v>
      </c>
      <c r="E15" s="1">
        <v>12</v>
      </c>
      <c r="F15" s="1">
        <v>21</v>
      </c>
      <c r="G15" s="24">
        <v>14.1</v>
      </c>
      <c r="H15" s="2">
        <f t="shared" si="0"/>
        <v>-9</v>
      </c>
      <c r="I15" s="2">
        <f t="shared" si="1"/>
        <v>-28</v>
      </c>
      <c r="K15" s="37"/>
      <c r="L15" s="31"/>
      <c r="M15" s="31"/>
    </row>
    <row r="16" spans="1:13" ht="21" customHeight="1" x14ac:dyDescent="0.25">
      <c r="A16" s="7">
        <v>14</v>
      </c>
      <c r="B16" s="12" t="s">
        <v>110</v>
      </c>
      <c r="C16" s="21" t="s">
        <v>77</v>
      </c>
      <c r="D16" s="1">
        <f t="shared" si="2"/>
        <v>134</v>
      </c>
      <c r="E16" s="1">
        <v>4</v>
      </c>
      <c r="F16" s="1">
        <v>13</v>
      </c>
      <c r="G16" s="24">
        <v>7.5</v>
      </c>
      <c r="H16" s="3">
        <f t="shared" si="0"/>
        <v>-9</v>
      </c>
      <c r="I16" s="3">
        <f t="shared" si="1"/>
        <v>-97</v>
      </c>
      <c r="K16" s="37"/>
      <c r="L16" s="40"/>
      <c r="M16" s="40"/>
    </row>
    <row r="17" spans="1:13" ht="21" customHeight="1" x14ac:dyDescent="0.25">
      <c r="A17" s="7">
        <v>15</v>
      </c>
      <c r="B17" s="12" t="s">
        <v>111</v>
      </c>
      <c r="C17" s="21" t="s">
        <v>76</v>
      </c>
      <c r="D17" s="1">
        <f t="shared" si="2"/>
        <v>147</v>
      </c>
      <c r="E17" s="1">
        <v>8</v>
      </c>
      <c r="F17" s="1">
        <v>16</v>
      </c>
      <c r="G17" s="24">
        <v>7.5</v>
      </c>
      <c r="H17" s="3">
        <f t="shared" si="0"/>
        <v>-8</v>
      </c>
      <c r="I17" s="3">
        <f t="shared" si="1"/>
        <v>-69</v>
      </c>
      <c r="K17" s="37"/>
      <c r="L17" s="40"/>
      <c r="M17" s="40"/>
    </row>
    <row r="18" spans="1:13" ht="21" customHeight="1" x14ac:dyDescent="0.25">
      <c r="A18" s="7">
        <v>16</v>
      </c>
      <c r="B18" s="12" t="s">
        <v>112</v>
      </c>
      <c r="C18" s="21" t="s">
        <v>74</v>
      </c>
      <c r="D18" s="1">
        <f t="shared" si="2"/>
        <v>154</v>
      </c>
      <c r="E18" s="1">
        <v>60</v>
      </c>
      <c r="F18" s="13">
        <v>165</v>
      </c>
      <c r="G18" s="25">
        <v>0.2</v>
      </c>
      <c r="H18" s="19">
        <f>E18-F18</f>
        <v>-105</v>
      </c>
      <c r="I18" s="19">
        <f t="shared" si="1"/>
        <v>-105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79</v>
      </c>
      <c r="D20" s="61"/>
      <c r="E20" s="61" t="s">
        <v>80</v>
      </c>
      <c r="F20" s="61"/>
      <c r="K20" s="37"/>
      <c r="L20" s="40"/>
      <c r="M20" s="40"/>
    </row>
    <row r="21" spans="1:13" ht="21" customHeight="1" x14ac:dyDescent="0.25">
      <c r="B21" s="35" t="s">
        <v>12</v>
      </c>
      <c r="C21" s="59">
        <f>SUM(H3:H18)</f>
        <v>-293</v>
      </c>
      <c r="D21" s="59"/>
      <c r="E21" s="59">
        <f>SUM(I3:I18)</f>
        <v>-690</v>
      </c>
      <c r="F21" s="59"/>
      <c r="K21" s="37"/>
      <c r="L21" s="40"/>
      <c r="M21" s="40"/>
    </row>
    <row r="22" spans="1:13" ht="21" customHeight="1" x14ac:dyDescent="0.25">
      <c r="B22" s="35" t="s">
        <v>13</v>
      </c>
      <c r="C22" s="59">
        <f>C21/16</f>
        <v>-18.3125</v>
      </c>
      <c r="D22" s="59"/>
      <c r="E22" s="59">
        <f>E21/16</f>
        <v>-43.125</v>
      </c>
      <c r="F22" s="59"/>
    </row>
    <row r="23" spans="1:13" ht="21" customHeight="1" x14ac:dyDescent="0.25">
      <c r="B23" s="35" t="s">
        <v>84</v>
      </c>
      <c r="C23" s="56">
        <f>AVERAGE(G3:G18)</f>
        <v>8.0187499999999989</v>
      </c>
      <c r="D23" s="56"/>
      <c r="E23" s="57"/>
      <c r="F23" s="57"/>
    </row>
    <row r="24" spans="1:13" ht="33" customHeight="1" x14ac:dyDescent="0.25">
      <c r="B24" s="35" t="s">
        <v>85</v>
      </c>
      <c r="C24" s="54" t="str">
        <f>INDEX(B3:B18,MATCH(MAX(G3:G18),G3:G18,0),1) &amp; " at " &amp; MAX(G3:G18) &amp; " average points."</f>
        <v>Jimmy Garoppolo at 14.1 average points.</v>
      </c>
      <c r="D24" s="54"/>
      <c r="E24" s="58"/>
      <c r="F24" s="58"/>
    </row>
    <row r="25" spans="1:13" ht="33" customHeight="1" x14ac:dyDescent="0.25">
      <c r="B25" s="35" t="s">
        <v>86</v>
      </c>
      <c r="C25" s="54" t="str">
        <f>INDEX(B3:B18,MATCH(MIN(G3:G18),G3:G18,0),1) &amp; " at " &amp; MIN(G3:G18) &amp; " average points."</f>
        <v>Andrew Luck at 0 average points.</v>
      </c>
      <c r="D25" s="54"/>
      <c r="E25" s="58"/>
      <c r="F25" s="58"/>
    </row>
    <row r="26" spans="1:13" ht="33" customHeight="1" x14ac:dyDescent="0.25">
      <c r="B26" s="35" t="s">
        <v>14</v>
      </c>
      <c r="C26" s="54" t="str">
        <f>INDEX(B3:B18,MATCH(MAX(H3:H18),H3:H18,0),1) &amp; " at a " &amp; MAX(H3:H18) &amp; " differential."</f>
        <v>Royce Freeman at a 9 differential.</v>
      </c>
      <c r="D26" s="54"/>
      <c r="E26" s="54" t="str">
        <f>INDEX(B3:B18,MATCH(MAX(I3:I18),I3:I18,0),1) &amp; " at a " &amp; MAX(I3:I18) &amp; " differential."</f>
        <v>Royce Freeman at a 12 differential.</v>
      </c>
      <c r="F26" s="54"/>
    </row>
    <row r="27" spans="1:13" ht="33" customHeight="1" x14ac:dyDescent="0.25">
      <c r="B27" s="35" t="s">
        <v>24</v>
      </c>
      <c r="C27" s="54" t="str">
        <f>INDEX(B3:B18,MATCH(MIN(H3:H18),H3:H18,0),1) &amp; " at a " &amp; MIN(H3:H18) &amp; " differential."</f>
        <v>J.J. Arcega-Whitehead at a -105 differential.</v>
      </c>
      <c r="D27" s="54"/>
      <c r="E27" s="54" t="str">
        <f>INDEX(B3:B18,MATCH(MIN(I3:I18),I3:I18,0),1) &amp; " at a " &amp; MIN(I3:I18) &amp; " differential."</f>
        <v>Trey Burten at a -150 differential.</v>
      </c>
      <c r="F27" s="54"/>
    </row>
    <row r="28" spans="1:13" ht="33" customHeight="1" x14ac:dyDescent="0.25">
      <c r="B28" s="35" t="s">
        <v>25</v>
      </c>
      <c r="C28" s="54" t="str">
        <f ca="1">INDEX(B3:B18,MATCH(MinMinusCellColorOfRelatedRow(B3:B18, H3:H18, K5),H3:H18,0),1) &amp; " at a " &amp; MinMinusCellColorOfRelatedRow(B3:B18, H3:H18, K5) &amp; " differential."</f>
        <v>J.J. Arcega-Whitehead at a -105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Trey Burten at a -150 differential.</v>
      </c>
      <c r="F28" s="54"/>
    </row>
    <row r="29" spans="1:13" ht="21" customHeight="1" x14ac:dyDescent="0.25">
      <c r="B29" s="35" t="s">
        <v>81</v>
      </c>
      <c r="C29" s="54" t="str">
        <f ca="1">GetBetterDraftPick(MinMinusCellColorOfRelatedRow(B3:B18, H3:H18, K5), INDEX(D3:D18,MATCH(MinMinusCellColorOfRelatedRow(B3:B18, H3:H18, K5),H3:H18,0),1),A1)</f>
        <v>Mitch Trubisky</v>
      </c>
      <c r="D29" s="54"/>
      <c r="E29" s="55" t="str">
        <f ca="1">GetBetterDraftPick(MinMinusCellColorOfRelatedRow(B3:B18, I3:I18, K5), INDEX(D3:D18,MATCH(MinMinusCellColorOfRelatedRow(B3:B18, I3:I18, K5),I3:I18,0),1),A1)</f>
        <v>Hunter Henry</v>
      </c>
      <c r="F29" s="55"/>
    </row>
    <row r="30" spans="1:13" ht="21" customHeight="1" x14ac:dyDescent="0.25">
      <c r="B30" s="35" t="s">
        <v>83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Marquise Valdes-Scantling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Hunter Henry</v>
      </c>
      <c r="F30" s="54"/>
    </row>
    <row r="31" spans="1:13" ht="21" customHeight="1" x14ac:dyDescent="0.25">
      <c r="B31" s="35" t="s">
        <v>33</v>
      </c>
      <c r="C31" s="53">
        <f ca="1">SumCellsInRowByColor(B3:B18, H3:H18, K3)</f>
        <v>-71</v>
      </c>
      <c r="D31" s="53"/>
      <c r="E31" s="53">
        <f ca="1">SumCellsInRowByColor(B3:B18, I3:I18, K3)</f>
        <v>-115</v>
      </c>
      <c r="F31" s="53"/>
    </row>
    <row r="32" spans="1:13" ht="21" customHeight="1" x14ac:dyDescent="0.25">
      <c r="B32" s="35" t="s">
        <v>37</v>
      </c>
      <c r="C32" s="53">
        <f ca="1">C31/L3</f>
        <v>-7.8888888888888893</v>
      </c>
      <c r="D32" s="53"/>
      <c r="E32" s="53">
        <f ca="1">E31/L3</f>
        <v>-12.777777777777779</v>
      </c>
      <c r="F32" s="53"/>
    </row>
    <row r="33" spans="2:6" ht="21" customHeight="1" x14ac:dyDescent="0.25">
      <c r="B33" s="35" t="s">
        <v>34</v>
      </c>
      <c r="C33" s="53">
        <f ca="1">SumCellsInRowByColor(B3:B18, H3:H18, K4)</f>
        <v>-135</v>
      </c>
      <c r="D33" s="53"/>
      <c r="E33" s="53">
        <f ca="1">SumCellsInRowByColor(B3:B18, I3:I18, K4)</f>
        <v>-284</v>
      </c>
      <c r="F33" s="53"/>
    </row>
    <row r="34" spans="2:6" ht="21" customHeight="1" x14ac:dyDescent="0.25">
      <c r="B34" s="35" t="s">
        <v>35</v>
      </c>
      <c r="C34" s="53">
        <f ca="1">C33/L4</f>
        <v>-33.75</v>
      </c>
      <c r="D34" s="53"/>
      <c r="E34" s="53">
        <f ca="1">E33/L4</f>
        <v>-71</v>
      </c>
      <c r="F34" s="53"/>
    </row>
    <row r="35" spans="2:6" ht="21" customHeight="1" x14ac:dyDescent="0.25">
      <c r="B35" s="35" t="s">
        <v>36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38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11" priority="1" operator="equal">
      <formula>0</formula>
    </cfRule>
    <cfRule type="cellIs" dxfId="10" priority="2" operator="greaterThan">
      <formula>0</formula>
    </cfRule>
    <cfRule type="cellIs" dxfId="9" priority="3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6"/>
  <sheetViews>
    <sheetView zoomScale="115" zoomScaleNormal="115" workbookViewId="0">
      <selection sqref="A1:I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60" t="s">
        <v>197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4</v>
      </c>
      <c r="C3" s="21" t="s">
        <v>72</v>
      </c>
      <c r="D3" s="1">
        <v>8</v>
      </c>
      <c r="E3" s="1">
        <v>6</v>
      </c>
      <c r="F3" s="1">
        <v>77</v>
      </c>
      <c r="G3" s="24">
        <v>1.4</v>
      </c>
      <c r="H3" s="2">
        <f>E3-F3</f>
        <v>-71</v>
      </c>
      <c r="I3" s="2">
        <f>ROUND(IF(C3="WR", H3, IF(C3="RB", H3*1.326, IF(C3="QB", H3*3.145, IF(C3="TE", H3*3.495, IF(C3="K", H3*8.65, IF(C3="D/ST", H3*10.813, "ERROR")))))),0)</f>
        <v>-94</v>
      </c>
      <c r="K3" s="16" t="s">
        <v>16</v>
      </c>
      <c r="L3" s="11">
        <f ca="1">CountCellsByColor(B3:B18,K3)</f>
        <v>8</v>
      </c>
    </row>
    <row r="4" spans="1:13" ht="21" customHeight="1" x14ac:dyDescent="0.25">
      <c r="A4" s="7">
        <v>2</v>
      </c>
      <c r="B4" s="4" t="s">
        <v>153</v>
      </c>
      <c r="C4" s="21" t="s">
        <v>74</v>
      </c>
      <c r="D4" s="1">
        <v>13</v>
      </c>
      <c r="E4" s="1">
        <v>5</v>
      </c>
      <c r="F4" s="1">
        <v>3</v>
      </c>
      <c r="G4" s="24">
        <v>16.2</v>
      </c>
      <c r="H4" s="3">
        <f t="shared" ref="H4:H17" si="0">E4-F4</f>
        <v>2</v>
      </c>
      <c r="I4" s="3">
        <f t="shared" ref="I4:I18" si="1">ROUND(IF(C4="WR", H4, IF(C4="RB", H4*1.326, IF(C4="QB", H4*3.145, IF(C4="TE", H4*3.495, IF(C4="K", H4*8.65, IF(C4="D/ST", H4*10.813, "ERROR")))))),0)</f>
        <v>2</v>
      </c>
      <c r="K4" s="17" t="s">
        <v>18</v>
      </c>
      <c r="L4" s="11">
        <f ca="1">CountCellsByColor(B3:B18,K4)</f>
        <v>5</v>
      </c>
    </row>
    <row r="5" spans="1:13" ht="21" customHeight="1" x14ac:dyDescent="0.25">
      <c r="A5" s="7">
        <v>3</v>
      </c>
      <c r="B5" s="5" t="s">
        <v>154</v>
      </c>
      <c r="C5" s="21" t="s">
        <v>72</v>
      </c>
      <c r="D5" s="1">
        <f>(D3+20)</f>
        <v>28</v>
      </c>
      <c r="E5" s="1">
        <v>13</v>
      </c>
      <c r="F5" s="1">
        <v>2</v>
      </c>
      <c r="G5" s="24">
        <v>18.8</v>
      </c>
      <c r="H5" s="3">
        <f t="shared" si="0"/>
        <v>11</v>
      </c>
      <c r="I5" s="3">
        <f t="shared" si="1"/>
        <v>15</v>
      </c>
      <c r="K5" s="18" t="s">
        <v>17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44</v>
      </c>
      <c r="C6" s="21" t="s">
        <v>74</v>
      </c>
      <c r="D6" s="1">
        <f>(D4+20)</f>
        <v>33</v>
      </c>
      <c r="E6" s="1">
        <v>14</v>
      </c>
      <c r="F6" s="1">
        <v>60</v>
      </c>
      <c r="G6" s="24">
        <v>4.2</v>
      </c>
      <c r="H6" s="3">
        <f t="shared" si="0"/>
        <v>-46</v>
      </c>
      <c r="I6" s="3">
        <f t="shared" si="1"/>
        <v>-46</v>
      </c>
      <c r="K6" s="15" t="s">
        <v>19</v>
      </c>
      <c r="L6" s="11">
        <f ca="1">CountCellsByColor(B3:B18,K6)</f>
        <v>2</v>
      </c>
    </row>
    <row r="7" spans="1:13" ht="21" customHeight="1" x14ac:dyDescent="0.25">
      <c r="A7" s="7">
        <v>5</v>
      </c>
      <c r="B7" s="4" t="s">
        <v>155</v>
      </c>
      <c r="C7" s="21" t="s">
        <v>72</v>
      </c>
      <c r="D7" s="1">
        <f t="shared" ref="D7:D18" si="2">(D5+20)</f>
        <v>48</v>
      </c>
      <c r="E7" s="1">
        <v>22</v>
      </c>
      <c r="F7" s="1">
        <v>21</v>
      </c>
      <c r="G7" s="24">
        <v>15.8</v>
      </c>
      <c r="H7" s="3">
        <f t="shared" si="0"/>
        <v>1</v>
      </c>
      <c r="I7" s="3">
        <f t="shared" si="1"/>
        <v>1</v>
      </c>
      <c r="K7" s="36"/>
      <c r="L7" s="36"/>
      <c r="M7" s="36"/>
    </row>
    <row r="8" spans="1:13" ht="21" customHeight="1" x14ac:dyDescent="0.25">
      <c r="A8" s="7">
        <v>6</v>
      </c>
      <c r="B8" s="4" t="s">
        <v>156</v>
      </c>
      <c r="C8" s="21" t="s">
        <v>74</v>
      </c>
      <c r="D8" s="1">
        <f t="shared" si="2"/>
        <v>53</v>
      </c>
      <c r="E8" s="1">
        <v>25</v>
      </c>
      <c r="F8" s="1">
        <v>60</v>
      </c>
      <c r="G8" s="24">
        <v>6</v>
      </c>
      <c r="H8" s="2">
        <f t="shared" si="0"/>
        <v>-35</v>
      </c>
      <c r="I8" s="2">
        <f t="shared" si="1"/>
        <v>-35</v>
      </c>
      <c r="K8" s="37"/>
      <c r="L8" s="43"/>
      <c r="M8" s="43"/>
    </row>
    <row r="9" spans="1:13" ht="21" customHeight="1" x14ac:dyDescent="0.25">
      <c r="A9" s="7">
        <v>7</v>
      </c>
      <c r="B9" s="12" t="s">
        <v>48</v>
      </c>
      <c r="C9" s="21" t="s">
        <v>72</v>
      </c>
      <c r="D9" s="1">
        <f t="shared" si="2"/>
        <v>68</v>
      </c>
      <c r="E9" s="1">
        <v>29</v>
      </c>
      <c r="F9" s="1">
        <v>38</v>
      </c>
      <c r="G9" s="24">
        <v>10.199999999999999</v>
      </c>
      <c r="H9" s="3">
        <f t="shared" si="0"/>
        <v>-9</v>
      </c>
      <c r="I9" s="3">
        <f t="shared" si="1"/>
        <v>-12</v>
      </c>
      <c r="K9" s="37"/>
      <c r="L9" s="43"/>
      <c r="M9" s="43"/>
    </row>
    <row r="10" spans="1:13" ht="21" customHeight="1" x14ac:dyDescent="0.25">
      <c r="A10" s="7">
        <v>8</v>
      </c>
      <c r="B10" s="4" t="s">
        <v>157</v>
      </c>
      <c r="C10" s="21" t="s">
        <v>75</v>
      </c>
      <c r="D10" s="1">
        <f t="shared" si="2"/>
        <v>73</v>
      </c>
      <c r="E10" s="1">
        <v>7</v>
      </c>
      <c r="F10" s="1">
        <v>40</v>
      </c>
      <c r="G10" s="24">
        <v>6</v>
      </c>
      <c r="H10" s="3">
        <f t="shared" si="0"/>
        <v>-33</v>
      </c>
      <c r="I10" s="3">
        <f t="shared" si="1"/>
        <v>-104</v>
      </c>
      <c r="K10" s="37"/>
      <c r="L10" s="39"/>
      <c r="M10" s="28"/>
    </row>
    <row r="11" spans="1:13" ht="21" customHeight="1" x14ac:dyDescent="0.25">
      <c r="A11" s="7">
        <v>9</v>
      </c>
      <c r="B11" s="12" t="s">
        <v>158</v>
      </c>
      <c r="C11" s="21" t="s">
        <v>74</v>
      </c>
      <c r="D11" s="1">
        <f t="shared" si="2"/>
        <v>88</v>
      </c>
      <c r="E11" s="1">
        <v>37</v>
      </c>
      <c r="F11" s="1">
        <v>17</v>
      </c>
      <c r="G11" s="24">
        <v>5.7</v>
      </c>
      <c r="H11" s="3">
        <f t="shared" si="0"/>
        <v>20</v>
      </c>
      <c r="I11" s="3">
        <f t="shared" si="1"/>
        <v>20</v>
      </c>
      <c r="K11" s="37"/>
      <c r="L11" s="31"/>
      <c r="M11" s="31"/>
    </row>
    <row r="12" spans="1:13" ht="21" customHeight="1" x14ac:dyDescent="0.25">
      <c r="A12" s="7">
        <v>10</v>
      </c>
      <c r="B12" s="4" t="s">
        <v>159</v>
      </c>
      <c r="C12" s="21" t="s">
        <v>72</v>
      </c>
      <c r="D12" s="1">
        <f t="shared" si="2"/>
        <v>93</v>
      </c>
      <c r="E12" s="1">
        <v>47</v>
      </c>
      <c r="F12" s="1">
        <v>66</v>
      </c>
      <c r="G12" s="24">
        <v>3.2</v>
      </c>
      <c r="H12" s="3">
        <f t="shared" si="0"/>
        <v>-19</v>
      </c>
      <c r="I12" s="3">
        <f t="shared" si="1"/>
        <v>-25</v>
      </c>
      <c r="K12" s="37"/>
      <c r="L12" s="31"/>
      <c r="M12" s="31"/>
    </row>
    <row r="13" spans="1:13" ht="21" customHeight="1" x14ac:dyDescent="0.25">
      <c r="A13" s="7">
        <v>11</v>
      </c>
      <c r="B13" s="5" t="s">
        <v>160</v>
      </c>
      <c r="C13" s="21" t="s">
        <v>74</v>
      </c>
      <c r="D13" s="1">
        <f t="shared" si="2"/>
        <v>108</v>
      </c>
      <c r="E13" s="1">
        <v>47</v>
      </c>
      <c r="F13" s="1">
        <v>70</v>
      </c>
      <c r="G13" s="24">
        <v>2.4</v>
      </c>
      <c r="H13" s="3">
        <f t="shared" si="0"/>
        <v>-23</v>
      </c>
      <c r="I13" s="3">
        <f t="shared" si="1"/>
        <v>-23</v>
      </c>
      <c r="K13" s="37"/>
      <c r="L13" s="31"/>
      <c r="M13" s="31"/>
    </row>
    <row r="14" spans="1:13" ht="21" customHeight="1" x14ac:dyDescent="0.25">
      <c r="A14" s="7">
        <v>12</v>
      </c>
      <c r="B14" s="12" t="s">
        <v>161</v>
      </c>
      <c r="C14" s="21" t="s">
        <v>77</v>
      </c>
      <c r="D14" s="1">
        <f t="shared" si="2"/>
        <v>113</v>
      </c>
      <c r="E14" s="1">
        <v>2</v>
      </c>
      <c r="F14" s="1">
        <v>4</v>
      </c>
      <c r="G14" s="24">
        <v>11.4</v>
      </c>
      <c r="H14" s="3">
        <f t="shared" si="0"/>
        <v>-2</v>
      </c>
      <c r="I14" s="3">
        <f t="shared" si="1"/>
        <v>-22</v>
      </c>
      <c r="K14" s="37"/>
      <c r="L14" s="31"/>
      <c r="M14" s="31"/>
    </row>
    <row r="15" spans="1:13" ht="21" customHeight="1" x14ac:dyDescent="0.25">
      <c r="A15" s="7">
        <v>13</v>
      </c>
      <c r="B15" s="12" t="s">
        <v>66</v>
      </c>
      <c r="C15" s="21" t="s">
        <v>72</v>
      </c>
      <c r="D15" s="1">
        <f t="shared" si="2"/>
        <v>128</v>
      </c>
      <c r="E15" s="1">
        <v>56</v>
      </c>
      <c r="F15" s="1">
        <v>17</v>
      </c>
      <c r="G15" s="24">
        <v>7.4</v>
      </c>
      <c r="H15" s="2">
        <f t="shared" si="0"/>
        <v>39</v>
      </c>
      <c r="I15" s="2">
        <f t="shared" si="1"/>
        <v>52</v>
      </c>
      <c r="K15" s="37"/>
      <c r="L15" s="31"/>
      <c r="M15" s="31"/>
    </row>
    <row r="16" spans="1:13" ht="21" customHeight="1" x14ac:dyDescent="0.25">
      <c r="A16" s="7">
        <v>14</v>
      </c>
      <c r="B16" s="4" t="s">
        <v>162</v>
      </c>
      <c r="C16" s="21" t="s">
        <v>76</v>
      </c>
      <c r="D16" s="1">
        <f t="shared" si="2"/>
        <v>133</v>
      </c>
      <c r="E16" s="1">
        <v>4</v>
      </c>
      <c r="F16" s="1">
        <v>8</v>
      </c>
      <c r="G16" s="24">
        <v>19.100000000000001</v>
      </c>
      <c r="H16" s="3">
        <f t="shared" si="0"/>
        <v>-4</v>
      </c>
      <c r="I16" s="3">
        <f t="shared" si="1"/>
        <v>-35</v>
      </c>
      <c r="K16" s="37"/>
      <c r="L16" s="44"/>
      <c r="M16" s="44"/>
    </row>
    <row r="17" spans="1:13" ht="21" customHeight="1" x14ac:dyDescent="0.25">
      <c r="A17" s="7">
        <v>15</v>
      </c>
      <c r="B17" s="12" t="s">
        <v>163</v>
      </c>
      <c r="C17" s="21" t="s">
        <v>73</v>
      </c>
      <c r="D17" s="1">
        <f t="shared" si="2"/>
        <v>148</v>
      </c>
      <c r="E17" s="1">
        <v>15</v>
      </c>
      <c r="F17" s="1">
        <v>7</v>
      </c>
      <c r="G17" s="24">
        <v>8.4</v>
      </c>
      <c r="H17" s="3">
        <f t="shared" si="0"/>
        <v>8</v>
      </c>
      <c r="I17" s="3">
        <f t="shared" si="1"/>
        <v>28</v>
      </c>
      <c r="K17" s="37"/>
      <c r="L17" s="44"/>
      <c r="M17" s="44"/>
    </row>
    <row r="18" spans="1:13" ht="21" customHeight="1" x14ac:dyDescent="0.25">
      <c r="A18" s="7">
        <v>16</v>
      </c>
      <c r="B18" s="14" t="s">
        <v>164</v>
      </c>
      <c r="C18" s="23" t="s">
        <v>165</v>
      </c>
      <c r="D18" s="1">
        <f t="shared" si="2"/>
        <v>153</v>
      </c>
      <c r="E18" s="1">
        <v>13</v>
      </c>
      <c r="F18" s="13">
        <v>172</v>
      </c>
      <c r="G18" s="25">
        <v>0</v>
      </c>
      <c r="H18" s="19">
        <f>E18-F18</f>
        <v>-159</v>
      </c>
      <c r="I18" s="19" t="e">
        <f t="shared" si="1"/>
        <v>#VALUE!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61" t="s">
        <v>79</v>
      </c>
      <c r="D20" s="61"/>
      <c r="E20" s="61" t="s">
        <v>80</v>
      </c>
      <c r="F20" s="61"/>
      <c r="K20" s="37"/>
      <c r="L20" s="44"/>
      <c r="M20" s="44"/>
    </row>
    <row r="21" spans="1:13" ht="21" customHeight="1" x14ac:dyDescent="0.25">
      <c r="B21" s="35" t="s">
        <v>12</v>
      </c>
      <c r="C21" s="59">
        <f>SUM(H3:H18)</f>
        <v>-320</v>
      </c>
      <c r="D21" s="59"/>
      <c r="E21" s="59" t="e">
        <f>SUM(I3:I18)</f>
        <v>#VALUE!</v>
      </c>
      <c r="F21" s="59"/>
      <c r="K21" s="37"/>
      <c r="L21" s="44"/>
      <c r="M21" s="44"/>
    </row>
    <row r="22" spans="1:13" ht="21" customHeight="1" x14ac:dyDescent="0.25">
      <c r="B22" s="35" t="s">
        <v>13</v>
      </c>
      <c r="C22" s="59">
        <f>C21/16</f>
        <v>-20</v>
      </c>
      <c r="D22" s="59"/>
      <c r="E22" s="59" t="e">
        <f>E21/16</f>
        <v>#VALUE!</v>
      </c>
      <c r="F22" s="59"/>
    </row>
    <row r="23" spans="1:13" ht="21" customHeight="1" x14ac:dyDescent="0.25">
      <c r="B23" s="35" t="s">
        <v>84</v>
      </c>
      <c r="C23" s="56">
        <f>AVERAGE(G3:G18)</f>
        <v>8.5125000000000028</v>
      </c>
      <c r="D23" s="56"/>
      <c r="E23" s="57"/>
      <c r="F23" s="57"/>
    </row>
    <row r="24" spans="1:13" ht="33" customHeight="1" x14ac:dyDescent="0.25">
      <c r="B24" s="35" t="s">
        <v>85</v>
      </c>
      <c r="C24" s="54" t="str">
        <f>INDEX(B3:B18,MATCH(MAX(G3:G18),G3:G18,0),1) &amp; " at " &amp; MAX(G3:G18) &amp; " average points."</f>
        <v>Harrison Butker at 19.1 average points.</v>
      </c>
      <c r="D24" s="54"/>
      <c r="E24" s="58"/>
      <c r="F24" s="58"/>
    </row>
    <row r="25" spans="1:13" ht="33" customHeight="1" x14ac:dyDescent="0.25">
      <c r="B25" s="35" t="s">
        <v>86</v>
      </c>
      <c r="C25" s="54" t="str">
        <f>INDEX(B3:B18,MATCH(MIN(G3:G18),G3:G18,0),1) &amp; " at " &amp; MIN(G3:G18) &amp; " average points."</f>
        <v>Ben Roethlisberger at 0 average points.</v>
      </c>
      <c r="D25" s="54"/>
      <c r="E25" s="58"/>
      <c r="F25" s="58"/>
    </row>
    <row r="26" spans="1:13" ht="33" customHeight="1" x14ac:dyDescent="0.25">
      <c r="B26" s="35" t="s">
        <v>14</v>
      </c>
      <c r="C26" s="54" t="str">
        <f>INDEX(B3:B18,MATCH(MAX(H3:H18),H3:H18,0),1) &amp; " at a " &amp; MAX(H3:H18) &amp; " differential."</f>
        <v>Dion Lewis at a 39 differential.</v>
      </c>
      <c r="D26" s="54"/>
      <c r="E26" s="54" t="e">
        <f>INDEX(B3:B18,MATCH(MAX(I3:I18),I3:I18,0),1) &amp; " at a " &amp; MAX(I3:I18) &amp; " differential."</f>
        <v>#VALUE!</v>
      </c>
      <c r="F26" s="54"/>
    </row>
    <row r="27" spans="1:13" ht="33" customHeight="1" x14ac:dyDescent="0.25">
      <c r="B27" s="35" t="s">
        <v>24</v>
      </c>
      <c r="C27" s="54" t="str">
        <f>INDEX(B3:B18,MATCH(MIN(H3:H18),H3:H18,0),1) &amp; " at a " &amp; MIN(H3:H18) &amp; " differential."</f>
        <v>Ben Roethlisberger at a -159 differential.</v>
      </c>
      <c r="D27" s="54"/>
      <c r="E27" s="54" t="e">
        <f>INDEX(B3:B18,MATCH(MIN(I3:I18),I3:I18,0),1) &amp; " at a " &amp; MIN(I3:I18) &amp; " differential."</f>
        <v>#VALUE!</v>
      </c>
      <c r="F27" s="54"/>
    </row>
    <row r="28" spans="1:13" ht="33" customHeight="1" x14ac:dyDescent="0.25">
      <c r="B28" s="35" t="s">
        <v>25</v>
      </c>
      <c r="C28" s="54" t="str">
        <f ca="1">INDEX(B3:B18,MATCH(MinMinusCellColorOfRelatedRow(B3:B18, H3:H18, K5),H3:H18,0),1) &amp; " at a " &amp; MinMinusCellColorOfRelatedRow(B3:B18, H3:H18, K5) &amp; " differential."</f>
        <v>Todd Gurley at a -71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Russel Wilson at a -104 differential.</v>
      </c>
      <c r="F28" s="54"/>
    </row>
    <row r="29" spans="1:13" ht="21" customHeight="1" x14ac:dyDescent="0.25">
      <c r="B29" s="35" t="s">
        <v>81</v>
      </c>
      <c r="C29" s="54" t="str">
        <f ca="1">GetBetterDraftPick(MinMinusCellColorOfRelatedRow(B3:B18, H3:H18, K5), INDEX(D3:D18,MATCH(MinMinusCellColorOfRelatedRow(B3:B18, H3:H18, K5),H3:H18,0),1),A1)</f>
        <v>Hunter Henry</v>
      </c>
      <c r="D29" s="54"/>
      <c r="E29" s="55" t="str">
        <f ca="1">GetBetterDraftPick(MinMinusCellColorOfRelatedRow(B3:B18, I3:I18, K5), INDEX(D3:D18,MATCH(MinMinusCellColorOfRelatedRow(B3:B18, I3:I18, K5),I3:I18,0),1),A1)</f>
        <v>Hunter Henry</v>
      </c>
      <c r="F29" s="55"/>
    </row>
    <row r="30" spans="1:13" ht="21" customHeight="1" x14ac:dyDescent="0.25">
      <c r="B30" s="35" t="s">
        <v>83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Nick Chubb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Jimmy Garoppolo</v>
      </c>
      <c r="F30" s="54"/>
    </row>
    <row r="31" spans="1:13" ht="21" customHeight="1" x14ac:dyDescent="0.25">
      <c r="B31" s="35" t="s">
        <v>33</v>
      </c>
      <c r="C31" s="53">
        <f ca="1">SumCellsInRowByColor(B3:B18, H3:H18, K3)</f>
        <v>-205</v>
      </c>
      <c r="D31" s="53"/>
      <c r="E31" s="53">
        <f ca="1">SumCellsInRowByColor(B3:B18, I3:I18, K3)</f>
        <v>-336</v>
      </c>
      <c r="F31" s="53"/>
    </row>
    <row r="32" spans="1:13" ht="21" customHeight="1" x14ac:dyDescent="0.25">
      <c r="B32" s="35" t="s">
        <v>37</v>
      </c>
      <c r="C32" s="53">
        <f ca="1">C31/L3</f>
        <v>-25.625</v>
      </c>
      <c r="D32" s="53"/>
      <c r="E32" s="53">
        <f ca="1">E31/L3</f>
        <v>-42</v>
      </c>
      <c r="F32" s="53"/>
    </row>
    <row r="33" spans="2:6" ht="21" customHeight="1" x14ac:dyDescent="0.25">
      <c r="B33" s="35" t="s">
        <v>34</v>
      </c>
      <c r="C33" s="53">
        <f ca="1">SumCellsInRowByColor(B3:B18, H3:H18, K4)</f>
        <v>56</v>
      </c>
      <c r="D33" s="53"/>
      <c r="E33" s="53">
        <f ca="1">SumCellsInRowByColor(B3:B18, I3:I18, K4)</f>
        <v>66</v>
      </c>
      <c r="F33" s="53"/>
    </row>
    <row r="34" spans="2:6" ht="21" customHeight="1" x14ac:dyDescent="0.25">
      <c r="B34" s="35" t="s">
        <v>35</v>
      </c>
      <c r="C34" s="53">
        <f ca="1">C33/L4</f>
        <v>11.2</v>
      </c>
      <c r="D34" s="53"/>
      <c r="E34" s="53">
        <f ca="1">E33/L4</f>
        <v>13.2</v>
      </c>
      <c r="F34" s="53"/>
    </row>
    <row r="35" spans="2:6" ht="21" customHeight="1" x14ac:dyDescent="0.25">
      <c r="B35" s="35" t="s">
        <v>36</v>
      </c>
      <c r="C35" s="53">
        <f ca="1">SumCellsInRowByColor(B3:B18, H3:H18, K6)</f>
        <v>-12</v>
      </c>
      <c r="D35" s="53"/>
      <c r="E35" s="53">
        <f ca="1">SumCellsInRowByColor(B3:B18, I3:I18, K6)</f>
        <v>-8</v>
      </c>
      <c r="F35" s="53"/>
    </row>
    <row r="36" spans="2:6" ht="21" customHeight="1" x14ac:dyDescent="0.25">
      <c r="B36" s="35" t="s">
        <v>38</v>
      </c>
      <c r="C36" s="53">
        <f ca="1">IF(L6 &lt;&gt; 0, C35/L6, 0)</f>
        <v>-6</v>
      </c>
      <c r="D36" s="53"/>
      <c r="E36" s="53">
        <f ca="1">IF(L6 &lt;&gt; 0, E35/L6, 0)</f>
        <v>-4</v>
      </c>
      <c r="F36" s="53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6"/>
  <sheetViews>
    <sheetView zoomScale="130" zoomScaleNormal="130" workbookViewId="0">
      <selection sqref="A1:I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ht="22.5" customHeight="1" x14ac:dyDescent="0.25">
      <c r="A1" s="60" t="s">
        <v>198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166</v>
      </c>
      <c r="C3" s="21" t="s">
        <v>74</v>
      </c>
      <c r="D3" s="1">
        <v>9</v>
      </c>
      <c r="E3" s="1">
        <v>3</v>
      </c>
      <c r="F3" s="1">
        <v>4</v>
      </c>
      <c r="G3" s="24">
        <v>22.2</v>
      </c>
      <c r="H3" s="2">
        <f>E3-F3</f>
        <v>-1</v>
      </c>
      <c r="I3" s="2">
        <f>ROUND(IF(C3="WR", H3, IF(C3="RB", H3*1.326, IF(C3="QB", H3*3.145, IF(C3="TE", H3*3.495, IF(C3="K", H3*8.65, IF(C3="D/ST", H3*10.813, "ERROR")))))),0)</f>
        <v>-1</v>
      </c>
      <c r="K3" s="16" t="s">
        <v>16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167</v>
      </c>
      <c r="C4" s="21" t="s">
        <v>72</v>
      </c>
      <c r="D4" s="1">
        <v>12</v>
      </c>
      <c r="E4" s="1">
        <v>8</v>
      </c>
      <c r="F4" s="1">
        <v>8</v>
      </c>
      <c r="G4" s="24">
        <v>7.9</v>
      </c>
      <c r="H4" s="3">
        <f t="shared" ref="H4:H17" si="0">E4-F4</f>
        <v>0</v>
      </c>
      <c r="I4" s="3">
        <f t="shared" ref="I4:I18" si="1">ROUND(IF(C4="WR", H4, IF(C4="RB", H4*1.326, IF(C4="QB", H4*3.145, IF(C4="TE", H4*3.495, IF(C4="K", H4*8.65, IF(C4="D/ST", H4*10.813, "ERROR")))))),0)</f>
        <v>0</v>
      </c>
      <c r="K4" s="17" t="s">
        <v>18</v>
      </c>
      <c r="L4" s="11">
        <f ca="1">CountCellsByColor(B3:B18,K4)</f>
        <v>2</v>
      </c>
    </row>
    <row r="5" spans="1:13" ht="21" customHeight="1" x14ac:dyDescent="0.25">
      <c r="A5" s="7">
        <v>3</v>
      </c>
      <c r="B5" s="4" t="s">
        <v>168</v>
      </c>
      <c r="C5" s="21" t="s">
        <v>72</v>
      </c>
      <c r="D5" s="1">
        <f>(D3+20)</f>
        <v>29</v>
      </c>
      <c r="E5" s="1">
        <v>14</v>
      </c>
      <c r="F5" s="1">
        <v>13</v>
      </c>
      <c r="G5" s="24">
        <v>12.9</v>
      </c>
      <c r="H5" s="3">
        <f t="shared" si="0"/>
        <v>1</v>
      </c>
      <c r="I5" s="3">
        <f t="shared" si="1"/>
        <v>1</v>
      </c>
      <c r="K5" s="18" t="s">
        <v>17</v>
      </c>
      <c r="L5" s="11">
        <f ca="1">CountCellsByColor(B3:B18,K5)</f>
        <v>3</v>
      </c>
    </row>
    <row r="6" spans="1:13" ht="21" customHeight="1" x14ac:dyDescent="0.25">
      <c r="A6" s="7">
        <v>4</v>
      </c>
      <c r="B6" s="6" t="s">
        <v>169</v>
      </c>
      <c r="C6" s="21" t="s">
        <v>72</v>
      </c>
      <c r="D6" s="1">
        <f>(D4+20)</f>
        <v>32</v>
      </c>
      <c r="E6" s="1">
        <v>15</v>
      </c>
      <c r="F6" s="1">
        <v>21</v>
      </c>
      <c r="G6" s="24">
        <v>13.8</v>
      </c>
      <c r="H6" s="3">
        <f t="shared" si="0"/>
        <v>-6</v>
      </c>
      <c r="I6" s="3">
        <f t="shared" si="1"/>
        <v>-8</v>
      </c>
      <c r="K6" s="15" t="s">
        <v>19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50</v>
      </c>
      <c r="C7" s="21" t="s">
        <v>74</v>
      </c>
      <c r="D7" s="1">
        <f t="shared" ref="D7:D18" si="2">(D5+20)</f>
        <v>49</v>
      </c>
      <c r="E7" s="1">
        <v>23</v>
      </c>
      <c r="F7" s="1">
        <v>34</v>
      </c>
      <c r="G7" s="24">
        <v>9.1999999999999993</v>
      </c>
      <c r="H7" s="3">
        <f t="shared" si="0"/>
        <v>-11</v>
      </c>
      <c r="I7" s="3">
        <f t="shared" si="1"/>
        <v>-11</v>
      </c>
      <c r="K7" s="36"/>
      <c r="L7" s="36"/>
      <c r="M7" s="36"/>
    </row>
    <row r="8" spans="1:13" ht="21" customHeight="1" x14ac:dyDescent="0.25">
      <c r="A8" s="7">
        <v>6</v>
      </c>
      <c r="B8" s="4" t="s">
        <v>170</v>
      </c>
      <c r="C8" s="21" t="s">
        <v>74</v>
      </c>
      <c r="D8" s="1">
        <f t="shared" si="2"/>
        <v>52</v>
      </c>
      <c r="E8" s="1">
        <v>21</v>
      </c>
      <c r="F8" s="1">
        <v>31</v>
      </c>
      <c r="G8" s="24">
        <v>7.9</v>
      </c>
      <c r="H8" s="2">
        <f t="shared" si="0"/>
        <v>-10</v>
      </c>
      <c r="I8" s="2">
        <f t="shared" si="1"/>
        <v>-10</v>
      </c>
      <c r="K8" s="37"/>
      <c r="L8" s="38"/>
      <c r="M8" s="38"/>
    </row>
    <row r="9" spans="1:13" ht="21" customHeight="1" x14ac:dyDescent="0.25">
      <c r="A9" s="7">
        <v>7</v>
      </c>
      <c r="B9" s="4" t="s">
        <v>171</v>
      </c>
      <c r="C9" s="21" t="s">
        <v>75</v>
      </c>
      <c r="D9" s="1">
        <f t="shared" si="2"/>
        <v>69</v>
      </c>
      <c r="E9" s="1">
        <v>22</v>
      </c>
      <c r="F9" s="1">
        <v>11</v>
      </c>
      <c r="G9" s="24">
        <v>8.6</v>
      </c>
      <c r="H9" s="3">
        <f t="shared" si="0"/>
        <v>11</v>
      </c>
      <c r="I9" s="3">
        <f t="shared" si="1"/>
        <v>35</v>
      </c>
      <c r="K9" s="37"/>
      <c r="L9" s="38"/>
      <c r="M9" s="38"/>
    </row>
    <row r="10" spans="1:13" ht="21" customHeight="1" x14ac:dyDescent="0.25">
      <c r="A10" s="7">
        <v>8</v>
      </c>
      <c r="B10" s="6" t="s">
        <v>172</v>
      </c>
      <c r="C10" s="21" t="s">
        <v>73</v>
      </c>
      <c r="D10" s="1">
        <f t="shared" si="2"/>
        <v>72</v>
      </c>
      <c r="E10" s="1">
        <v>7</v>
      </c>
      <c r="F10" s="1">
        <v>13</v>
      </c>
      <c r="G10" s="24">
        <v>12.8</v>
      </c>
      <c r="H10" s="3">
        <f t="shared" si="0"/>
        <v>-6</v>
      </c>
      <c r="I10" s="3">
        <f t="shared" si="1"/>
        <v>-21</v>
      </c>
      <c r="K10" s="37"/>
      <c r="L10" s="39"/>
      <c r="M10" s="28"/>
    </row>
    <row r="11" spans="1:13" ht="21" customHeight="1" x14ac:dyDescent="0.25">
      <c r="A11" s="7">
        <v>9</v>
      </c>
      <c r="B11" s="4" t="s">
        <v>173</v>
      </c>
      <c r="C11" s="21" t="s">
        <v>74</v>
      </c>
      <c r="D11" s="1">
        <f t="shared" si="2"/>
        <v>89</v>
      </c>
      <c r="E11" s="1">
        <v>38</v>
      </c>
      <c r="F11" s="1">
        <v>13</v>
      </c>
      <c r="G11" s="24">
        <v>12.9</v>
      </c>
      <c r="H11" s="3">
        <f t="shared" si="0"/>
        <v>25</v>
      </c>
      <c r="I11" s="3">
        <f t="shared" si="1"/>
        <v>25</v>
      </c>
      <c r="K11" s="37"/>
      <c r="L11" s="31"/>
      <c r="M11" s="31"/>
    </row>
    <row r="12" spans="1:13" ht="21" customHeight="1" x14ac:dyDescent="0.25">
      <c r="A12" s="7">
        <v>10</v>
      </c>
      <c r="B12" s="4" t="s">
        <v>63</v>
      </c>
      <c r="C12" s="21" t="s">
        <v>74</v>
      </c>
      <c r="D12" s="1">
        <f t="shared" si="2"/>
        <v>92</v>
      </c>
      <c r="E12" s="1">
        <v>40</v>
      </c>
      <c r="F12" s="1">
        <v>1</v>
      </c>
      <c r="G12" s="24">
        <v>9.6999999999999993</v>
      </c>
      <c r="H12" s="3">
        <f t="shared" si="0"/>
        <v>39</v>
      </c>
      <c r="I12" s="3">
        <f t="shared" si="1"/>
        <v>39</v>
      </c>
      <c r="K12" s="37"/>
      <c r="L12" s="31"/>
      <c r="M12" s="31"/>
    </row>
    <row r="13" spans="1:13" ht="21" customHeight="1" x14ac:dyDescent="0.25">
      <c r="A13" s="7">
        <v>11</v>
      </c>
      <c r="B13" s="4" t="s">
        <v>174</v>
      </c>
      <c r="C13" s="21" t="s">
        <v>73</v>
      </c>
      <c r="D13" s="1">
        <f t="shared" si="2"/>
        <v>109</v>
      </c>
      <c r="E13" s="1">
        <v>11</v>
      </c>
      <c r="F13" s="1">
        <v>2</v>
      </c>
      <c r="G13" s="24">
        <v>23.4</v>
      </c>
      <c r="H13" s="3">
        <f t="shared" si="0"/>
        <v>9</v>
      </c>
      <c r="I13" s="3">
        <f t="shared" si="1"/>
        <v>31</v>
      </c>
      <c r="K13" s="37"/>
      <c r="L13" s="31"/>
      <c r="M13" s="31"/>
    </row>
    <row r="14" spans="1:13" ht="21" customHeight="1" x14ac:dyDescent="0.25">
      <c r="A14" s="7">
        <v>12</v>
      </c>
      <c r="B14" s="4" t="s">
        <v>175</v>
      </c>
      <c r="C14" s="21" t="s">
        <v>74</v>
      </c>
      <c r="D14" s="1">
        <f t="shared" si="2"/>
        <v>112</v>
      </c>
      <c r="E14" s="1">
        <v>49</v>
      </c>
      <c r="F14" s="1">
        <v>41</v>
      </c>
      <c r="G14" s="24">
        <v>5.9</v>
      </c>
      <c r="H14" s="3">
        <f t="shared" si="0"/>
        <v>8</v>
      </c>
      <c r="I14" s="3">
        <f t="shared" si="1"/>
        <v>8</v>
      </c>
      <c r="K14" s="37"/>
      <c r="L14" s="31"/>
      <c r="M14" s="31"/>
    </row>
    <row r="15" spans="1:13" ht="21" customHeight="1" x14ac:dyDescent="0.25">
      <c r="A15" s="7">
        <v>13</v>
      </c>
      <c r="B15" s="4" t="s">
        <v>176</v>
      </c>
      <c r="C15" s="21" t="s">
        <v>74</v>
      </c>
      <c r="D15" s="1">
        <f t="shared" si="2"/>
        <v>129</v>
      </c>
      <c r="E15" s="1">
        <v>56</v>
      </c>
      <c r="F15" s="1">
        <v>14</v>
      </c>
      <c r="G15" s="24">
        <v>9.1999999999999993</v>
      </c>
      <c r="H15" s="2">
        <f t="shared" si="0"/>
        <v>42</v>
      </c>
      <c r="I15" s="2">
        <f t="shared" si="1"/>
        <v>42</v>
      </c>
      <c r="K15" s="37"/>
      <c r="L15" s="31"/>
      <c r="M15" s="31"/>
    </row>
    <row r="16" spans="1:13" ht="21" customHeight="1" x14ac:dyDescent="0.25">
      <c r="A16" s="7">
        <v>14</v>
      </c>
      <c r="B16" s="12" t="s">
        <v>177</v>
      </c>
      <c r="C16" s="21" t="s">
        <v>74</v>
      </c>
      <c r="D16" s="1">
        <f t="shared" si="2"/>
        <v>132</v>
      </c>
      <c r="E16" s="1">
        <v>58</v>
      </c>
      <c r="F16" s="1">
        <v>53</v>
      </c>
      <c r="G16" s="24">
        <v>1.5</v>
      </c>
      <c r="H16" s="3">
        <f t="shared" si="0"/>
        <v>5</v>
      </c>
      <c r="I16" s="3">
        <f t="shared" si="1"/>
        <v>5</v>
      </c>
      <c r="K16" s="37"/>
      <c r="L16" s="40"/>
      <c r="M16" s="40"/>
    </row>
    <row r="17" spans="1:13" ht="21" customHeight="1" x14ac:dyDescent="0.25">
      <c r="A17" s="7">
        <v>15</v>
      </c>
      <c r="B17" s="12" t="s">
        <v>178</v>
      </c>
      <c r="C17" s="21" t="s">
        <v>77</v>
      </c>
      <c r="D17" s="1">
        <f t="shared" si="2"/>
        <v>149</v>
      </c>
      <c r="E17" s="1">
        <v>8</v>
      </c>
      <c r="F17" s="1">
        <v>18</v>
      </c>
      <c r="G17" s="24">
        <v>12.2</v>
      </c>
      <c r="H17" s="3">
        <f t="shared" si="0"/>
        <v>-10</v>
      </c>
      <c r="I17" s="3">
        <f t="shared" si="1"/>
        <v>-108</v>
      </c>
      <c r="K17" s="37"/>
      <c r="L17" s="40"/>
      <c r="M17" s="40"/>
    </row>
    <row r="18" spans="1:13" ht="21" customHeight="1" x14ac:dyDescent="0.25">
      <c r="A18" s="7">
        <v>16</v>
      </c>
      <c r="B18" s="6" t="s">
        <v>179</v>
      </c>
      <c r="C18" s="21" t="s">
        <v>76</v>
      </c>
      <c r="D18" s="1">
        <f t="shared" si="2"/>
        <v>152</v>
      </c>
      <c r="E18" s="1">
        <v>9</v>
      </c>
      <c r="F18" s="13">
        <v>86</v>
      </c>
      <c r="G18" s="25">
        <v>0.7</v>
      </c>
      <c r="H18" s="19">
        <f>E18-F18</f>
        <v>-77</v>
      </c>
      <c r="I18" s="19">
        <f t="shared" si="1"/>
        <v>-666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79</v>
      </c>
      <c r="D20" s="61"/>
      <c r="E20" s="61" t="s">
        <v>80</v>
      </c>
      <c r="F20" s="61"/>
      <c r="K20" s="37"/>
      <c r="L20" s="40"/>
      <c r="M20" s="40"/>
    </row>
    <row r="21" spans="1:13" ht="21" customHeight="1" x14ac:dyDescent="0.25">
      <c r="B21" s="35" t="s">
        <v>12</v>
      </c>
      <c r="C21" s="59">
        <f>SUM(H3:H18)</f>
        <v>19</v>
      </c>
      <c r="D21" s="59"/>
      <c r="E21" s="59">
        <f>SUM(I3:I18)</f>
        <v>-639</v>
      </c>
      <c r="F21" s="59"/>
      <c r="K21" s="37"/>
      <c r="L21" s="40"/>
      <c r="M21" s="40"/>
    </row>
    <row r="22" spans="1:13" ht="21" customHeight="1" x14ac:dyDescent="0.25">
      <c r="B22" s="35" t="s">
        <v>13</v>
      </c>
      <c r="C22" s="59">
        <f>C21/16</f>
        <v>1.1875</v>
      </c>
      <c r="D22" s="59"/>
      <c r="E22" s="59">
        <f>E21/16</f>
        <v>-39.9375</v>
      </c>
      <c r="F22" s="59"/>
    </row>
    <row r="23" spans="1:13" ht="21" customHeight="1" x14ac:dyDescent="0.25">
      <c r="B23" s="35" t="s">
        <v>84</v>
      </c>
      <c r="C23" s="56">
        <f>AVERAGE(G3:G18)</f>
        <v>10.674999999999999</v>
      </c>
      <c r="D23" s="56"/>
      <c r="E23" s="57"/>
      <c r="F23" s="57"/>
    </row>
    <row r="24" spans="1:13" ht="33" customHeight="1" x14ac:dyDescent="0.25">
      <c r="B24" s="35" t="s">
        <v>85</v>
      </c>
      <c r="C24" s="54" t="str">
        <f>INDEX(B3:B18,MATCH(MAX(G3:G18),G3:G18,0),1) &amp; " at " &amp; MAX(G3:G18) &amp; " average points."</f>
        <v>Hunter Henry at 23.4 average points.</v>
      </c>
      <c r="D24" s="54"/>
      <c r="E24" s="58"/>
      <c r="F24" s="58"/>
    </row>
    <row r="25" spans="1:13" ht="33" customHeight="1" x14ac:dyDescent="0.25">
      <c r="B25" s="35" t="s">
        <v>86</v>
      </c>
      <c r="C25" s="54" t="str">
        <f>INDEX(B3:B18,MATCH(MIN(G3:G18),G3:G18,0),1) &amp; " at " &amp; MIN(G3:G18) &amp; " average points."</f>
        <v>Craham Gano at 0.7 average points.</v>
      </c>
      <c r="D25" s="54"/>
      <c r="E25" s="58"/>
      <c r="F25" s="58"/>
    </row>
    <row r="26" spans="1:13" ht="33" customHeight="1" x14ac:dyDescent="0.25">
      <c r="B26" s="35" t="s">
        <v>14</v>
      </c>
      <c r="C26" s="54" t="str">
        <f>INDEX(B3:B18,MATCH(MAX(H3:H18),H3:H18,0),1) &amp; " at a " &amp; MAX(H3:H18) &amp; " differential."</f>
        <v>D.K. Metcalf at a 42 differential.</v>
      </c>
      <c r="D26" s="54"/>
      <c r="E26" s="54" t="str">
        <f>INDEX(B3:B18,MATCH(MAX(I3:I18),I3:I18,0),1) &amp; " at a " &amp; MAX(I3:I18) &amp; " differential."</f>
        <v>D.K. Metcalf at a 42 differential.</v>
      </c>
      <c r="F26" s="54"/>
    </row>
    <row r="27" spans="1:13" ht="33" customHeight="1" x14ac:dyDescent="0.25">
      <c r="B27" s="35" t="s">
        <v>24</v>
      </c>
      <c r="C27" s="54" t="str">
        <f>INDEX(B3:B18,MATCH(MIN(H3:H18),H3:H18,0),1) &amp; " at a " &amp; MIN(H3:H18) &amp; " differential."</f>
        <v>Craham Gano at a -77 differential.</v>
      </c>
      <c r="D27" s="54"/>
      <c r="E27" s="54" t="str">
        <f>INDEX(B3:B18,MATCH(MIN(I3:I18),I3:I18,0),1) &amp; " at a " &amp; MIN(I3:I18) &amp; " differential."</f>
        <v>Craham Gano at a -666 differential.</v>
      </c>
      <c r="F27" s="54"/>
    </row>
    <row r="28" spans="1:13" ht="33" customHeight="1" x14ac:dyDescent="0.25">
      <c r="B28" s="35" t="s">
        <v>25</v>
      </c>
      <c r="C28" s="54" t="str">
        <f ca="1">INDEX(B3:B18,MATCH(MinMinusCellColorOfRelatedRow(B3:B18, H3:H18, K5),H3:H18,0),1) &amp; " at a " &amp; MinMinusCellColorOfRelatedRow(B3:B18, H3:H18, K5) &amp; " differential."</f>
        <v>Calvin Ridley at a -11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Eagles D/ST at a -108 differential.</v>
      </c>
      <c r="F28" s="54"/>
    </row>
    <row r="29" spans="1:13" ht="21" customHeight="1" x14ac:dyDescent="0.25">
      <c r="B29" s="35" t="s">
        <v>81</v>
      </c>
      <c r="C29" s="54" t="str">
        <f ca="1">GetBetterDraftPick(MinMinusCellColorOfRelatedRow(B3:B18, H3:H18, K5), INDEX(D3:D18,MATCH(MinMinusCellColorOfRelatedRow(B3:B18, H3:H18, K5),H3:H18,0),1),A1)</f>
        <v>Curtis Samuel</v>
      </c>
      <c r="D29" s="54"/>
      <c r="E29" s="55" t="str">
        <f ca="1">GetBetterDraftPick(MinMinusCellColorOfRelatedRow(B3:B18, I3:I18, K5), INDEX(D3:D18,MATCH(MinMinusCellColorOfRelatedRow(B3:B18, I3:I18, K5),I3:I18,0),1),A1)</f>
        <v>Mitch Trubisky</v>
      </c>
      <c r="F29" s="55"/>
    </row>
    <row r="30" spans="1:13" ht="21" customHeight="1" x14ac:dyDescent="0.25">
      <c r="B30" s="35" t="s">
        <v>83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Curtis Samuel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/>
      </c>
      <c r="F30" s="54"/>
    </row>
    <row r="31" spans="1:13" ht="21" customHeight="1" x14ac:dyDescent="0.25">
      <c r="B31" s="35" t="s">
        <v>33</v>
      </c>
      <c r="C31" s="53">
        <f ca="1">SumCellsInRowByColor(B3:B18, H3:H18, K3)</f>
        <v>113</v>
      </c>
      <c r="D31" s="53"/>
      <c r="E31" s="53">
        <f ca="1">SumCellsInRowByColor(B3:B18, I3:I18, K3)</f>
        <v>159</v>
      </c>
      <c r="F31" s="53"/>
    </row>
    <row r="32" spans="1:13" ht="21" customHeight="1" x14ac:dyDescent="0.25">
      <c r="B32" s="35" t="s">
        <v>37</v>
      </c>
      <c r="C32" s="53">
        <f ca="1">C31/L3</f>
        <v>10.272727272727273</v>
      </c>
      <c r="D32" s="53"/>
      <c r="E32" s="53">
        <f ca="1">E31/L3</f>
        <v>14.454545454545455</v>
      </c>
      <c r="F32" s="53"/>
    </row>
    <row r="33" spans="2:6" ht="21" customHeight="1" x14ac:dyDescent="0.25">
      <c r="B33" s="35" t="s">
        <v>34</v>
      </c>
      <c r="C33" s="53">
        <f ca="1">SumCellsInRowByColor(B3:B18, H3:H18, K4)</f>
        <v>-5</v>
      </c>
      <c r="D33" s="53"/>
      <c r="E33" s="53">
        <f ca="1">SumCellsInRowByColor(B3:B18, I3:I18, K4)</f>
        <v>-103</v>
      </c>
      <c r="F33" s="53"/>
    </row>
    <row r="34" spans="2:6" ht="21" customHeight="1" x14ac:dyDescent="0.25">
      <c r="B34" s="35" t="s">
        <v>35</v>
      </c>
      <c r="C34" s="53">
        <f ca="1">C33/L4</f>
        <v>-2.5</v>
      </c>
      <c r="D34" s="53"/>
      <c r="E34" s="53">
        <f ca="1">E33/L4</f>
        <v>-51.5</v>
      </c>
      <c r="F34" s="53"/>
    </row>
    <row r="35" spans="2:6" ht="21" customHeight="1" x14ac:dyDescent="0.25">
      <c r="B35" s="35" t="s">
        <v>36</v>
      </c>
      <c r="C35" s="53">
        <f ca="1">SumCellsInRowByColor(B3:B18, H3:H18, K6)</f>
        <v>0</v>
      </c>
      <c r="D35" s="53"/>
      <c r="E35" s="53">
        <f ca="1">SumCellsInRowByColor(B3:B18, I3:I18, K6)</f>
        <v>0</v>
      </c>
      <c r="F35" s="53"/>
    </row>
    <row r="36" spans="2:6" ht="21" customHeight="1" x14ac:dyDescent="0.25">
      <c r="B36" s="35" t="s">
        <v>38</v>
      </c>
      <c r="C36" s="53">
        <f ca="1">IF(L6 &lt;&gt; 0, C35/L6, 0)</f>
        <v>0</v>
      </c>
      <c r="D36" s="53"/>
      <c r="E36" s="53">
        <f ca="1">IF(L6 &lt;&gt; 0, E35/L6, 0)</f>
        <v>0</v>
      </c>
      <c r="F36" s="53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5" priority="1" operator="equal">
      <formula>0</formula>
    </cfRule>
    <cfRule type="cellIs" dxfId="4" priority="2" operator="greaterThan">
      <formula>0</formula>
    </cfRule>
    <cfRule type="cellIs" dxfId="3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6"/>
  <sheetViews>
    <sheetView zoomScale="115" zoomScaleNormal="115" workbookViewId="0">
      <selection activeCell="H20" sqref="H20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3" width="34.5703125" bestFit="1" customWidth="1"/>
  </cols>
  <sheetData>
    <row r="1" spans="1:13" s="42" customFormat="1" ht="22.5" customHeight="1" x14ac:dyDescent="0.25">
      <c r="A1" s="60" t="s">
        <v>199</v>
      </c>
      <c r="B1" s="60"/>
      <c r="C1" s="60"/>
      <c r="D1" s="60"/>
      <c r="E1" s="60"/>
      <c r="F1" s="60"/>
      <c r="G1" s="60"/>
      <c r="H1" s="60"/>
      <c r="I1" s="60"/>
    </row>
    <row r="2" spans="1:13" s="9" customFormat="1" ht="43.5" customHeight="1" x14ac:dyDescent="0.25">
      <c r="A2" s="8" t="s">
        <v>0</v>
      </c>
      <c r="B2" s="8" t="s">
        <v>1</v>
      </c>
      <c r="C2" s="8" t="s">
        <v>71</v>
      </c>
      <c r="D2" s="8" t="s">
        <v>2</v>
      </c>
      <c r="E2" s="8" t="s">
        <v>3</v>
      </c>
      <c r="F2" s="8" t="s">
        <v>10</v>
      </c>
      <c r="G2" s="8" t="s">
        <v>82</v>
      </c>
      <c r="H2" s="8" t="s">
        <v>11</v>
      </c>
      <c r="I2" s="8" t="s">
        <v>78</v>
      </c>
      <c r="K2" s="10" t="s">
        <v>15</v>
      </c>
      <c r="L2" s="10" t="s">
        <v>23</v>
      </c>
    </row>
    <row r="3" spans="1:13" ht="21" customHeight="1" x14ac:dyDescent="0.25">
      <c r="A3" s="7">
        <v>1</v>
      </c>
      <c r="B3" s="4" t="s">
        <v>180</v>
      </c>
      <c r="C3" s="21" t="s">
        <v>72</v>
      </c>
      <c r="D3" s="1">
        <v>10</v>
      </c>
      <c r="E3" s="1">
        <v>7</v>
      </c>
      <c r="F3" s="1">
        <v>5</v>
      </c>
      <c r="G3" s="24">
        <v>18.899999999999999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16</v>
      </c>
      <c r="L3" s="11">
        <f ca="1">CountCellsByColor(B3:B18,K3)</f>
        <v>6</v>
      </c>
    </row>
    <row r="4" spans="1:13" ht="21" customHeight="1" x14ac:dyDescent="0.25">
      <c r="A4" s="7">
        <v>2</v>
      </c>
      <c r="B4" s="5" t="s">
        <v>181</v>
      </c>
      <c r="C4" s="21" t="s">
        <v>74</v>
      </c>
      <c r="D4" s="1">
        <v>11</v>
      </c>
      <c r="E4" s="1">
        <v>4</v>
      </c>
      <c r="F4" s="1">
        <v>6</v>
      </c>
      <c r="G4" s="24">
        <v>15.2</v>
      </c>
      <c r="H4" s="3">
        <f t="shared" ref="H4:H17" si="0">E4-F4</f>
        <v>-2</v>
      </c>
      <c r="I4" s="3">
        <f t="shared" ref="I4:I18" si="1">ROUND(IF(C4="WR", H4, IF(C4="RB", H4*1.326, IF(C4="QB", H4*3.145, IF(C4="TE", H4*3.495, IF(C4="K", H4*8.65, IF(C4="D/ST", H4*10.813, "ERROR")))))),0)</f>
        <v>-2</v>
      </c>
      <c r="K4" s="17" t="s">
        <v>18</v>
      </c>
      <c r="L4" s="11">
        <f ca="1">CountCellsByColor(B3:B18,K4)</f>
        <v>6</v>
      </c>
    </row>
    <row r="5" spans="1:13" ht="21" customHeight="1" x14ac:dyDescent="0.25">
      <c r="A5" s="7">
        <v>3</v>
      </c>
      <c r="B5" s="5" t="s">
        <v>57</v>
      </c>
      <c r="C5" s="21" t="s">
        <v>73</v>
      </c>
      <c r="D5" s="1">
        <f>(D3+20)</f>
        <v>30</v>
      </c>
      <c r="E5" s="1">
        <v>3</v>
      </c>
      <c r="F5" s="1">
        <v>63</v>
      </c>
      <c r="G5" s="24">
        <v>5.7</v>
      </c>
      <c r="H5" s="3">
        <f t="shared" si="0"/>
        <v>-60</v>
      </c>
      <c r="I5" s="3">
        <f t="shared" si="1"/>
        <v>-210</v>
      </c>
      <c r="K5" s="18" t="s">
        <v>17</v>
      </c>
      <c r="L5" s="11">
        <f ca="1">CountCellsByColor(B3:B18,K5)</f>
        <v>2</v>
      </c>
    </row>
    <row r="6" spans="1:13" ht="21" customHeight="1" x14ac:dyDescent="0.25">
      <c r="A6" s="7">
        <v>4</v>
      </c>
      <c r="B6" s="4" t="s">
        <v>65</v>
      </c>
      <c r="C6" s="21" t="s">
        <v>74</v>
      </c>
      <c r="D6" s="1">
        <f>(D4+20)</f>
        <v>31</v>
      </c>
      <c r="E6" s="1">
        <v>13</v>
      </c>
      <c r="F6" s="1">
        <v>32</v>
      </c>
      <c r="G6" s="24">
        <v>8.4</v>
      </c>
      <c r="H6" s="3">
        <f t="shared" si="0"/>
        <v>-19</v>
      </c>
      <c r="I6" s="3">
        <f t="shared" si="1"/>
        <v>-19</v>
      </c>
      <c r="K6" s="15" t="s">
        <v>19</v>
      </c>
      <c r="L6" s="11">
        <f ca="1">CountCellsByColor(B3:B18,K6)</f>
        <v>2</v>
      </c>
    </row>
    <row r="7" spans="1:13" ht="21" customHeight="1" x14ac:dyDescent="0.25">
      <c r="A7" s="7">
        <v>5</v>
      </c>
      <c r="B7" s="4" t="s">
        <v>54</v>
      </c>
      <c r="C7" s="21" t="s">
        <v>72</v>
      </c>
      <c r="D7" s="1">
        <f t="shared" ref="D7:D18" si="2">(D5+20)</f>
        <v>50</v>
      </c>
      <c r="E7" s="1">
        <v>23</v>
      </c>
      <c r="F7" s="1">
        <v>13</v>
      </c>
      <c r="G7" s="24">
        <v>17.7</v>
      </c>
      <c r="H7" s="3">
        <f t="shared" si="0"/>
        <v>10</v>
      </c>
      <c r="I7" s="3">
        <f t="shared" si="1"/>
        <v>13</v>
      </c>
      <c r="K7" s="36"/>
      <c r="L7" s="36"/>
      <c r="M7" s="36"/>
    </row>
    <row r="8" spans="1:13" ht="21" customHeight="1" x14ac:dyDescent="0.25">
      <c r="A8" s="7">
        <v>6</v>
      </c>
      <c r="B8" s="4" t="s">
        <v>182</v>
      </c>
      <c r="C8" s="21" t="s">
        <v>75</v>
      </c>
      <c r="D8" s="1">
        <f t="shared" si="2"/>
        <v>51</v>
      </c>
      <c r="E8" s="1">
        <v>2</v>
      </c>
      <c r="F8" s="1">
        <v>20</v>
      </c>
      <c r="G8" s="24">
        <v>11.9</v>
      </c>
      <c r="H8" s="2">
        <f t="shared" si="0"/>
        <v>-18</v>
      </c>
      <c r="I8" s="2">
        <f t="shared" si="1"/>
        <v>-57</v>
      </c>
      <c r="K8" s="37"/>
      <c r="L8" s="38"/>
      <c r="M8" s="38"/>
    </row>
    <row r="9" spans="1:13" ht="21" customHeight="1" x14ac:dyDescent="0.25">
      <c r="A9" s="7">
        <v>7</v>
      </c>
      <c r="B9" s="4" t="s">
        <v>183</v>
      </c>
      <c r="C9" s="21" t="s">
        <v>74</v>
      </c>
      <c r="D9" s="1">
        <f t="shared" si="2"/>
        <v>70</v>
      </c>
      <c r="E9" s="1">
        <v>29</v>
      </c>
      <c r="F9" s="1">
        <v>14</v>
      </c>
      <c r="G9" s="24">
        <v>6.5</v>
      </c>
      <c r="H9" s="3">
        <f t="shared" si="0"/>
        <v>15</v>
      </c>
      <c r="I9" s="3">
        <f t="shared" si="1"/>
        <v>15</v>
      </c>
      <c r="K9" s="37"/>
      <c r="L9" s="38"/>
      <c r="M9" s="38"/>
    </row>
    <row r="10" spans="1:13" ht="21" customHeight="1" x14ac:dyDescent="0.25">
      <c r="A10" s="7">
        <v>8</v>
      </c>
      <c r="B10" s="6" t="s">
        <v>184</v>
      </c>
      <c r="C10" s="21" t="s">
        <v>72</v>
      </c>
      <c r="D10" s="1">
        <f t="shared" si="2"/>
        <v>71</v>
      </c>
      <c r="E10" s="1">
        <v>30</v>
      </c>
      <c r="F10" s="1">
        <v>28</v>
      </c>
      <c r="G10" s="24">
        <v>8.6</v>
      </c>
      <c r="H10" s="3">
        <f t="shared" si="0"/>
        <v>2</v>
      </c>
      <c r="I10" s="3">
        <f t="shared" si="1"/>
        <v>3</v>
      </c>
      <c r="K10" s="37"/>
      <c r="L10" s="39"/>
      <c r="M10" s="28"/>
    </row>
    <row r="11" spans="1:13" ht="21" customHeight="1" x14ac:dyDescent="0.25">
      <c r="A11" s="7">
        <v>9</v>
      </c>
      <c r="B11" s="12" t="s">
        <v>185</v>
      </c>
      <c r="C11" s="21" t="s">
        <v>72</v>
      </c>
      <c r="D11" s="1">
        <f t="shared" si="2"/>
        <v>90</v>
      </c>
      <c r="E11" s="1">
        <v>36</v>
      </c>
      <c r="F11" s="1">
        <v>21</v>
      </c>
      <c r="G11" s="24">
        <v>4.7</v>
      </c>
      <c r="H11" s="3">
        <f t="shared" si="0"/>
        <v>15</v>
      </c>
      <c r="I11" s="3">
        <f t="shared" si="1"/>
        <v>20</v>
      </c>
      <c r="K11" s="37"/>
      <c r="L11" s="31"/>
      <c r="M11" s="31"/>
    </row>
    <row r="12" spans="1:13" ht="21" customHeight="1" x14ac:dyDescent="0.25">
      <c r="A12" s="7">
        <v>10</v>
      </c>
      <c r="B12" s="12" t="s">
        <v>7</v>
      </c>
      <c r="C12" s="21" t="s">
        <v>74</v>
      </c>
      <c r="D12" s="1">
        <f t="shared" si="2"/>
        <v>91</v>
      </c>
      <c r="E12" s="1">
        <v>39</v>
      </c>
      <c r="F12" s="1">
        <v>59</v>
      </c>
      <c r="G12" s="24">
        <v>6.1</v>
      </c>
      <c r="H12" s="3">
        <f t="shared" si="0"/>
        <v>-20</v>
      </c>
      <c r="I12" s="3">
        <f t="shared" si="1"/>
        <v>-20</v>
      </c>
      <c r="K12" s="37"/>
      <c r="L12" s="31"/>
      <c r="M12" s="31"/>
    </row>
    <row r="13" spans="1:13" ht="21" customHeight="1" x14ac:dyDescent="0.25">
      <c r="A13" s="7">
        <v>11</v>
      </c>
      <c r="B13" s="12" t="s">
        <v>186</v>
      </c>
      <c r="C13" s="21" t="s">
        <v>72</v>
      </c>
      <c r="D13" s="1">
        <f t="shared" si="2"/>
        <v>110</v>
      </c>
      <c r="E13" s="1">
        <v>41</v>
      </c>
      <c r="F13" s="1">
        <v>29</v>
      </c>
      <c r="G13" s="24">
        <v>4.0999999999999996</v>
      </c>
      <c r="H13" s="3">
        <f t="shared" si="0"/>
        <v>12</v>
      </c>
      <c r="I13" s="3">
        <f t="shared" si="1"/>
        <v>16</v>
      </c>
      <c r="K13" s="37"/>
      <c r="L13" s="31"/>
      <c r="M13" s="31"/>
    </row>
    <row r="14" spans="1:13" ht="21" customHeight="1" x14ac:dyDescent="0.25">
      <c r="A14" s="7">
        <v>12</v>
      </c>
      <c r="B14" s="6" t="s">
        <v>187</v>
      </c>
      <c r="C14" s="21" t="s">
        <v>74</v>
      </c>
      <c r="D14" s="1">
        <f t="shared" si="2"/>
        <v>111</v>
      </c>
      <c r="E14" s="1">
        <v>48</v>
      </c>
      <c r="F14" s="1">
        <v>34</v>
      </c>
      <c r="G14" s="24">
        <v>6.6</v>
      </c>
      <c r="H14" s="3">
        <f t="shared" si="0"/>
        <v>14</v>
      </c>
      <c r="I14" s="3">
        <f t="shared" si="1"/>
        <v>14</v>
      </c>
      <c r="K14" s="37"/>
      <c r="L14" s="31"/>
      <c r="M14" s="31"/>
    </row>
    <row r="15" spans="1:13" ht="21" customHeight="1" x14ac:dyDescent="0.25">
      <c r="A15" s="7">
        <v>13</v>
      </c>
      <c r="B15" s="4" t="s">
        <v>188</v>
      </c>
      <c r="C15" s="21" t="s">
        <v>77</v>
      </c>
      <c r="D15" s="1">
        <f t="shared" si="2"/>
        <v>130</v>
      </c>
      <c r="E15" s="1">
        <v>3</v>
      </c>
      <c r="F15" s="1">
        <v>15</v>
      </c>
      <c r="G15" s="24">
        <v>12.3</v>
      </c>
      <c r="H15" s="2">
        <f>E15-F15</f>
        <v>-12</v>
      </c>
      <c r="I15" s="2">
        <f t="shared" si="1"/>
        <v>-130</v>
      </c>
      <c r="K15" s="37"/>
      <c r="L15" s="31"/>
      <c r="M15" s="31"/>
    </row>
    <row r="16" spans="1:13" ht="21" customHeight="1" x14ac:dyDescent="0.25">
      <c r="A16" s="7">
        <v>14</v>
      </c>
      <c r="B16" s="12" t="s">
        <v>189</v>
      </c>
      <c r="C16" s="21" t="s">
        <v>76</v>
      </c>
      <c r="D16" s="1">
        <f t="shared" si="2"/>
        <v>131</v>
      </c>
      <c r="E16" s="1">
        <v>5</v>
      </c>
      <c r="F16" s="1">
        <v>172</v>
      </c>
      <c r="G16" s="24">
        <v>0</v>
      </c>
      <c r="H16" s="3">
        <f t="shared" si="0"/>
        <v>-167</v>
      </c>
      <c r="I16" s="3">
        <f t="shared" si="1"/>
        <v>-1445</v>
      </c>
      <c r="K16" s="37"/>
      <c r="L16" s="40"/>
      <c r="M16" s="40"/>
    </row>
    <row r="17" spans="1:13" ht="21" customHeight="1" x14ac:dyDescent="0.25">
      <c r="A17" s="7">
        <v>15</v>
      </c>
      <c r="B17" s="12" t="s">
        <v>190</v>
      </c>
      <c r="C17" s="21" t="s">
        <v>72</v>
      </c>
      <c r="D17" s="1">
        <f t="shared" si="2"/>
        <v>150</v>
      </c>
      <c r="E17" s="1">
        <v>60</v>
      </c>
      <c r="F17" s="1">
        <v>89</v>
      </c>
      <c r="G17" s="24">
        <v>4.4000000000000004</v>
      </c>
      <c r="H17" s="3">
        <f t="shared" si="0"/>
        <v>-29</v>
      </c>
      <c r="I17" s="3">
        <f t="shared" si="1"/>
        <v>-38</v>
      </c>
      <c r="K17" s="37"/>
      <c r="L17" s="40"/>
      <c r="M17" s="40"/>
    </row>
    <row r="18" spans="1:13" ht="21" customHeight="1" x14ac:dyDescent="0.25">
      <c r="A18" s="7">
        <v>16</v>
      </c>
      <c r="B18" s="12" t="s">
        <v>191</v>
      </c>
      <c r="C18" s="21" t="s">
        <v>73</v>
      </c>
      <c r="D18" s="1">
        <f t="shared" si="2"/>
        <v>151</v>
      </c>
      <c r="E18" s="1">
        <v>16</v>
      </c>
      <c r="F18" s="13">
        <v>27</v>
      </c>
      <c r="G18" s="25">
        <v>8.9</v>
      </c>
      <c r="H18" s="19">
        <f>E18-F18</f>
        <v>-11</v>
      </c>
      <c r="I18" s="19">
        <f t="shared" si="1"/>
        <v>-38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61" t="s">
        <v>79</v>
      </c>
      <c r="D20" s="61"/>
      <c r="E20" s="61" t="s">
        <v>80</v>
      </c>
      <c r="F20" s="61"/>
      <c r="K20" s="37"/>
      <c r="L20" s="40"/>
      <c r="M20" s="40"/>
    </row>
    <row r="21" spans="1:13" ht="21" customHeight="1" x14ac:dyDescent="0.25">
      <c r="B21" s="35" t="s">
        <v>12</v>
      </c>
      <c r="C21" s="59">
        <f>SUM(H3:H18)</f>
        <v>-268</v>
      </c>
      <c r="D21" s="59"/>
      <c r="E21" s="59">
        <f>SUM(I3:I18)</f>
        <v>-1875</v>
      </c>
      <c r="F21" s="59"/>
      <c r="K21" s="37"/>
      <c r="L21" s="40"/>
      <c r="M21" s="40"/>
    </row>
    <row r="22" spans="1:13" ht="21" customHeight="1" x14ac:dyDescent="0.25">
      <c r="B22" s="35" t="s">
        <v>13</v>
      </c>
      <c r="C22" s="59">
        <f>C21/16</f>
        <v>-16.75</v>
      </c>
      <c r="D22" s="59"/>
      <c r="E22" s="59">
        <f>E21/16</f>
        <v>-117.1875</v>
      </c>
      <c r="F22" s="59"/>
    </row>
    <row r="23" spans="1:13" ht="21" customHeight="1" x14ac:dyDescent="0.25">
      <c r="B23" s="35" t="s">
        <v>84</v>
      </c>
      <c r="C23" s="56">
        <f>AVERAGE(G3:G18)</f>
        <v>8.7499999999999982</v>
      </c>
      <c r="D23" s="56"/>
      <c r="E23" s="57"/>
      <c r="F23" s="57"/>
    </row>
    <row r="24" spans="1:13" ht="33" customHeight="1" x14ac:dyDescent="0.25">
      <c r="B24" s="35" t="s">
        <v>85</v>
      </c>
      <c r="C24" s="54" t="str">
        <f>INDEX(B3:B18,MATCH(MAX(G3:G18),G3:G18,0),1) &amp; " at " &amp; MAX(G3:G18) &amp; " average points."</f>
        <v>James Conner at 18.9 average points.</v>
      </c>
      <c r="D24" s="54"/>
      <c r="E24" s="58"/>
      <c r="F24" s="58"/>
    </row>
    <row r="25" spans="1:13" ht="33" customHeight="1" x14ac:dyDescent="0.25">
      <c r="B25" s="35" t="s">
        <v>86</v>
      </c>
      <c r="C25" s="54" t="str">
        <f>INDEX(B3:B18,MATCH(MIN(G3:G18),G3:G18,0),1) &amp; " at " &amp; MIN(G3:G18) &amp; " average points."</f>
        <v>Will Lutz at 0 average points.</v>
      </c>
      <c r="D25" s="54"/>
      <c r="E25" s="58"/>
      <c r="F25" s="58"/>
    </row>
    <row r="26" spans="1:13" ht="33" customHeight="1" x14ac:dyDescent="0.25">
      <c r="B26" s="35" t="s">
        <v>14</v>
      </c>
      <c r="C26" s="54" t="str">
        <f>INDEX(B3:B18,MATCH(MAX(H3:H18),H3:H18,0),1) &amp; " at a " &amp; MAX(H3:H18) &amp; " differential."</f>
        <v>Marvin Jones Jr at a 15 differential.</v>
      </c>
      <c r="D26" s="54"/>
      <c r="E26" s="54" t="str">
        <f>INDEX(B3:B18,MATCH(MAX(I3:I18),I3:I18,0),1) &amp; " at a " &amp; MAX(I3:I18) &amp; " differential."</f>
        <v>Rashad Penny at a 20 differential.</v>
      </c>
      <c r="F26" s="54"/>
    </row>
    <row r="27" spans="1:13" ht="33" customHeight="1" x14ac:dyDescent="0.25">
      <c r="B27" s="35" t="s">
        <v>24</v>
      </c>
      <c r="C27" s="54" t="str">
        <f>INDEX(B3:B18,MATCH(MIN(H3:H18),H3:H18,0),1) &amp; " at a " &amp; MIN(H3:H18) &amp; " differential."</f>
        <v>Will Lutz at a -167 differential.</v>
      </c>
      <c r="D27" s="54"/>
      <c r="E27" s="54" t="str">
        <f>INDEX(B3:B18,MATCH(MIN(I3:I18),I3:I18,0),1) &amp; " at a " &amp; MIN(I3:I18) &amp; " differential."</f>
        <v>Will Lutz at a -1445 differential.</v>
      </c>
      <c r="F27" s="54"/>
    </row>
    <row r="28" spans="1:13" ht="33" customHeight="1" x14ac:dyDescent="0.25">
      <c r="B28" s="35" t="s">
        <v>25</v>
      </c>
      <c r="C28" s="54" t="str">
        <f ca="1">INDEX(B3:B18,MATCH(MinMinusCellColorOfRelatedRow(B3:B18, H3:H18, K5),H3:H18,0),1) &amp; " at a " &amp; MinMinusCellColorOfRelatedRow(B3:B18, H3:H18, K5) &amp; " differential."</f>
        <v>Will Lutz at a -167 differential.</v>
      </c>
      <c r="D28" s="54"/>
      <c r="E28" s="54" t="str">
        <f ca="1">INDEX(B3:B18,MATCH(MinMinusCellColorOfRelatedRow(B3:B18, I3:I18, K5),I3:I18,0),1) &amp; " at a " &amp; MinMinusCellColorOfRelatedRow(B3:B18, I3:I18, K5) &amp; " differential."</f>
        <v>Will Lutz at a -1445 differential.</v>
      </c>
      <c r="F28" s="54"/>
    </row>
    <row r="29" spans="1:13" ht="21" customHeight="1" x14ac:dyDescent="0.25">
      <c r="B29" s="35" t="s">
        <v>81</v>
      </c>
      <c r="C29" s="54" t="str">
        <f ca="1">GetBetterDraftPick(MinMinusCellColorOfRelatedRow(B3:B18, H3:H18, K5), INDEX(D3:D18,MATCH(MinMinusCellColorOfRelatedRow(B3:B18, H3:H18, K5),H3:H18,0),1),A1)</f>
        <v>Harrison Butker</v>
      </c>
      <c r="D29" s="54"/>
      <c r="E29" s="55" t="str">
        <f ca="1">GetBetterDraftPick(MinMinusCellColorOfRelatedRow(B3:B18, I3:I18, K5), INDEX(D3:D18,MATCH(MinMinusCellColorOfRelatedRow(B3:B18, I3:I18, K5),I3:I18,0),1),A1)</f>
        <v>Harrison Butker</v>
      </c>
      <c r="F29" s="55"/>
    </row>
    <row r="30" spans="1:13" ht="21" customHeight="1" x14ac:dyDescent="0.25">
      <c r="B30" s="35" t="s">
        <v>83</v>
      </c>
      <c r="C30" s="54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Harrison Butker</v>
      </c>
      <c r="D30" s="54"/>
      <c r="E30" s="54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Harrison Butker</v>
      </c>
      <c r="F30" s="54"/>
    </row>
    <row r="31" spans="1:13" ht="21" customHeight="1" x14ac:dyDescent="0.25">
      <c r="B31" s="35" t="s">
        <v>33</v>
      </c>
      <c r="C31" s="53">
        <f ca="1">SumCellsInRowByColor(B3:B18, H3:H18, K3)</f>
        <v>-22</v>
      </c>
      <c r="D31" s="53"/>
      <c r="E31" s="53">
        <f ca="1">SumCellsInRowByColor(B3:B18, I3:I18, K3)</f>
        <v>-175</v>
      </c>
      <c r="F31" s="53"/>
    </row>
    <row r="32" spans="1:13" ht="21" customHeight="1" x14ac:dyDescent="0.25">
      <c r="B32" s="35" t="s">
        <v>37</v>
      </c>
      <c r="C32" s="53">
        <f ca="1">C31/L3</f>
        <v>-3.6666666666666665</v>
      </c>
      <c r="D32" s="53"/>
      <c r="E32" s="53">
        <f ca="1">E31/L3</f>
        <v>-29.166666666666668</v>
      </c>
      <c r="F32" s="53"/>
    </row>
    <row r="33" spans="2:6" ht="21" customHeight="1" x14ac:dyDescent="0.25">
      <c r="B33" s="35" t="s">
        <v>34</v>
      </c>
      <c r="C33" s="53">
        <f ca="1">SumCellsInRowByColor(B3:B18, H3:H18, K4)</f>
        <v>-200</v>
      </c>
      <c r="D33" s="53"/>
      <c r="E33" s="53">
        <f ca="1">SumCellsInRowByColor(B3:B18, I3:I18, K4)</f>
        <v>-1505</v>
      </c>
      <c r="F33" s="53"/>
    </row>
    <row r="34" spans="2:6" ht="21" customHeight="1" x14ac:dyDescent="0.25">
      <c r="B34" s="35" t="s">
        <v>35</v>
      </c>
      <c r="C34" s="53">
        <f ca="1">C33/L4</f>
        <v>-33.333333333333336</v>
      </c>
      <c r="D34" s="53"/>
      <c r="E34" s="53">
        <f ca="1">E33/L4</f>
        <v>-250.83333333333334</v>
      </c>
      <c r="F34" s="53"/>
    </row>
    <row r="35" spans="2:6" ht="21" customHeight="1" x14ac:dyDescent="0.25">
      <c r="B35" s="35" t="s">
        <v>36</v>
      </c>
      <c r="C35" s="53">
        <f ca="1">SumCellsInRowByColor(B3:B18, H3:H18, K6)</f>
        <v>-62</v>
      </c>
      <c r="D35" s="53"/>
      <c r="E35" s="53">
        <f ca="1">SumCellsInRowByColor(B3:B18, I3:I18, K6)</f>
        <v>-212</v>
      </c>
      <c r="F35" s="53"/>
    </row>
    <row r="36" spans="2:6" ht="21" customHeight="1" x14ac:dyDescent="0.25">
      <c r="B36" s="35" t="s">
        <v>38</v>
      </c>
      <c r="C36" s="53">
        <f ca="1">IF(L6 &lt;&gt; 0, C35/L6, 0)</f>
        <v>-31</v>
      </c>
      <c r="D36" s="53"/>
      <c r="E36" s="53">
        <f ca="1">IF(L6 &lt;&gt; 0, E35/L6, 0)</f>
        <v>-106</v>
      </c>
      <c r="F36" s="53"/>
    </row>
  </sheetData>
  <mergeCells count="35">
    <mergeCell ref="C22:D22"/>
    <mergeCell ref="E22:F22"/>
    <mergeCell ref="A1:I1"/>
    <mergeCell ref="C20:D20"/>
    <mergeCell ref="E20:F20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  <mergeCell ref="C29:D29"/>
    <mergeCell ref="E29:F29"/>
    <mergeCell ref="C30:D30"/>
    <mergeCell ref="E30:F30"/>
    <mergeCell ref="C31:D31"/>
    <mergeCell ref="E31:F31"/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</mergeCells>
  <conditionalFormatting sqref="H3:I18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51"/>
  <sheetViews>
    <sheetView tabSelected="1" zoomScale="85" zoomScaleNormal="85" workbookViewId="0">
      <selection activeCell="C6" sqref="C6"/>
    </sheetView>
  </sheetViews>
  <sheetFormatPr defaultRowHeight="15" x14ac:dyDescent="0.25"/>
  <cols>
    <col min="1" max="1" width="41.85546875" style="27" bestFit="1" customWidth="1"/>
    <col min="2" max="2" width="47" style="29" bestFit="1" customWidth="1"/>
    <col min="3" max="3" width="46.28515625" style="27" bestFit="1" customWidth="1"/>
    <col min="4" max="4" width="9.140625" style="27"/>
    <col min="5" max="5" width="3.140625" style="27" bestFit="1" customWidth="1"/>
    <col min="6" max="6" width="45.28515625" style="27" bestFit="1" customWidth="1"/>
    <col min="7" max="7" width="9.140625" style="27"/>
    <col min="8" max="8" width="3.140625" style="27" bestFit="1" customWidth="1"/>
    <col min="9" max="9" width="46.5703125" style="27" bestFit="1" customWidth="1"/>
    <col min="10" max="16384" width="9.140625" style="27"/>
  </cols>
  <sheetData>
    <row r="1" spans="1:20" ht="42" customHeight="1" x14ac:dyDescent="0.25">
      <c r="A1" s="63" t="s">
        <v>90</v>
      </c>
      <c r="B1" s="63"/>
      <c r="C1" s="63"/>
      <c r="D1" s="63"/>
      <c r="E1" s="63"/>
      <c r="F1" s="63"/>
      <c r="G1" s="63"/>
      <c r="H1" s="63"/>
      <c r="I1" s="63"/>
      <c r="J1" s="45"/>
      <c r="K1" s="45"/>
      <c r="L1" s="49"/>
      <c r="M1" s="49"/>
      <c r="N1" s="45"/>
      <c r="O1" s="45"/>
      <c r="P1" s="45"/>
      <c r="Q1" s="45"/>
      <c r="R1" s="45"/>
      <c r="S1" s="45"/>
      <c r="T1" s="45"/>
    </row>
    <row r="2" spans="1:20" ht="21" customHeight="1" x14ac:dyDescent="0.25"/>
    <row r="3" spans="1:20" ht="21" customHeight="1" x14ac:dyDescent="0.25">
      <c r="A3" s="46"/>
      <c r="B3" s="62" t="s">
        <v>89</v>
      </c>
      <c r="C3" s="62"/>
      <c r="E3" s="64" t="s">
        <v>103</v>
      </c>
      <c r="F3" s="64"/>
      <c r="H3" s="64" t="s">
        <v>104</v>
      </c>
      <c r="I3" s="64"/>
    </row>
    <row r="4" spans="1:20" ht="21" customHeight="1" x14ac:dyDescent="0.25">
      <c r="A4" s="32"/>
      <c r="B4" s="47" t="s">
        <v>79</v>
      </c>
      <c r="C4" s="33" t="s">
        <v>80</v>
      </c>
      <c r="E4" s="48">
        <v>1</v>
      </c>
      <c r="F4" s="30" t="str">
        <f>BestPickByRoundNumber(3,8,TRUE)</f>
        <v>Leo picking James Conner with a 2 diff.</v>
      </c>
      <c r="H4" s="48">
        <v>1</v>
      </c>
      <c r="I4" s="30" t="str">
        <f>BestPickByRoundNumber(3,8,FALSE)</f>
        <v>Anne picking Le'Veon Bell with a -113 diff.</v>
      </c>
    </row>
    <row r="5" spans="1:20" ht="21" customHeight="1" x14ac:dyDescent="0.25">
      <c r="A5" s="48" t="s">
        <v>95</v>
      </c>
      <c r="B5" s="34" t="str">
        <f>GetExtremeValueAcrossAllSheets(C21,TRUE, FALSE)</f>
        <v>Brian at a value of 19</v>
      </c>
      <c r="C5" s="34" t="e">
        <f>GetExtremeValueAcrossAllSheets(E21,TRUE, FALSE)</f>
        <v>#VALUE!</v>
      </c>
      <c r="E5" s="48">
        <v>2</v>
      </c>
      <c r="F5" s="30" t="str">
        <f>BestPickByRoundNumber(4,8,TRUE)</f>
        <v>Angela picking Mike Evans with a 8 diff.</v>
      </c>
      <c r="H5" s="48">
        <v>2</v>
      </c>
      <c r="I5" s="30" t="str">
        <f>BestPickByRoundNumber(4,8,FALSE)</f>
        <v>Tim picking Antonio Brown with a -118 diff.</v>
      </c>
    </row>
    <row r="6" spans="1:20" ht="21" customHeight="1" x14ac:dyDescent="0.25">
      <c r="A6" s="48" t="s">
        <v>96</v>
      </c>
      <c r="B6" s="34" t="str">
        <f>GetExtremeValueAcrossAllSheets(C21,FALSE, FALSE)</f>
        <v>Anne at a value of -458</v>
      </c>
      <c r="C6" s="34" t="e">
        <f>GetExtremeValueAcrossAllSheets(E21,FALSE, FALSE)</f>
        <v>#VALUE!</v>
      </c>
      <c r="E6" s="48">
        <v>3</v>
      </c>
      <c r="F6" s="30" t="str">
        <f>BestPickByRoundNumber(5,8,TRUE)</f>
        <v>Lou picking Melvin Gordon with a 11 diff.</v>
      </c>
      <c r="H6" s="48">
        <v>3</v>
      </c>
      <c r="I6" s="30" t="str">
        <f>BestPickByRoundNumber(5,8,FALSE)</f>
        <v>Leo picking George Kittle with a -60 diff.</v>
      </c>
    </row>
    <row r="7" spans="1:20" ht="21" customHeight="1" x14ac:dyDescent="0.25">
      <c r="A7" s="48" t="s">
        <v>94</v>
      </c>
      <c r="B7" s="34" t="str">
        <f ca="1">GetExtremeValueAcrossAllSheets(C31,TRUE, FALSE)</f>
        <v>Brian at a value of 113</v>
      </c>
      <c r="C7" s="34" t="str">
        <f ca="1">GetExtremeValueAcrossAllSheets(E31,TRUE, FALSE)</f>
        <v>Brian at a value of 159</v>
      </c>
      <c r="E7" s="48">
        <v>4</v>
      </c>
      <c r="F7" s="30" t="str">
        <f>BestPickByRoundNumber(6,8,TRUE)</f>
        <v>Rosie picking Melvin Gordon with a 14 diff.</v>
      </c>
      <c r="H7" s="48">
        <v>4</v>
      </c>
      <c r="I7" s="30" t="str">
        <f>BestPickByRoundNumber(6,8,FALSE)</f>
        <v>Anthony picking Damien Williams with a -89 diff.</v>
      </c>
    </row>
    <row r="8" spans="1:20" ht="21" customHeight="1" x14ac:dyDescent="0.25">
      <c r="A8" s="48" t="s">
        <v>93</v>
      </c>
      <c r="B8" s="34" t="str">
        <f ca="1">GetExtremeValueAcrossAllSheets(C31,FALSE, FALSE)</f>
        <v>Anne at a value of -287</v>
      </c>
      <c r="C8" s="30" t="str">
        <f ca="1">GetExtremeValueAcrossAllSheets(E31,FALSE, FALSE)</f>
        <v>Anne at a value of -548</v>
      </c>
      <c r="E8" s="48">
        <v>5</v>
      </c>
      <c r="F8" s="30" t="str">
        <f>BestPickByRoundNumber(7,8,TRUE)</f>
        <v>Rosie picking Amari Cooper with a 17 diff.</v>
      </c>
      <c r="H8" s="48">
        <v>5</v>
      </c>
      <c r="I8" s="30" t="str">
        <f>BestPickByRoundNumber(7,8,FALSE)</f>
        <v>Mike F picking Kenyan Drake with a -16 diff.</v>
      </c>
    </row>
    <row r="9" spans="1:20" ht="21" customHeight="1" x14ac:dyDescent="0.25">
      <c r="A9" s="48" t="s">
        <v>97</v>
      </c>
      <c r="B9" s="34" t="str">
        <f ca="1">GetExtremeValueAcrossAllSheets(C33,TRUE, FALSE)</f>
        <v>Lou at a value of 56</v>
      </c>
      <c r="C9" s="30" t="str">
        <f ca="1">GetExtremeValueAcrossAllSheets(E33,TRUE, FALSE)</f>
        <v>Lou at a value of 66</v>
      </c>
      <c r="E9" s="48">
        <v>6</v>
      </c>
      <c r="F9" s="30" t="str">
        <f>BestPickByRoundNumber(8,8,TRUE)</f>
        <v>Angela picking Philip Lindsey with a 13 diff.</v>
      </c>
      <c r="H9" s="48">
        <v>6</v>
      </c>
      <c r="I9" s="30" t="str">
        <f>BestPickByRoundNumber(8,8,FALSE)</f>
        <v>Anthony picking Aaron Rodgers with a -43 diff.</v>
      </c>
    </row>
    <row r="10" spans="1:20" ht="21" customHeight="1" x14ac:dyDescent="0.25">
      <c r="A10" s="48" t="s">
        <v>98</v>
      </c>
      <c r="B10" s="34" t="str">
        <f ca="1">GetExtremeValueAcrossAllSheets(C33,FALSE, FALSE)</f>
        <v>Tim at a value of -275</v>
      </c>
      <c r="C10" s="30" t="str">
        <f ca="1">GetExtremeValueAcrossAllSheets(E33,FALSE, FALSE)</f>
        <v>Leo at a value of -1505</v>
      </c>
      <c r="E10" s="48">
        <v>7</v>
      </c>
      <c r="F10" s="30" t="str">
        <f>BestPickByRoundNumber(9,8,TRUE)</f>
        <v>Leo picking Marvin Jones Jr with a 15 diff.</v>
      </c>
      <c r="H10" s="48">
        <v>7</v>
      </c>
      <c r="I10" s="30" t="str">
        <f>BestPickByRoundNumber(9,8,FALSE)</f>
        <v>Rosie picking Tom Brady with a -39 diff.</v>
      </c>
    </row>
    <row r="11" spans="1:20" ht="21" customHeight="1" x14ac:dyDescent="0.25">
      <c r="A11" s="48" t="s">
        <v>99</v>
      </c>
      <c r="B11" s="34" t="str">
        <f ca="1">GetExtremeValueAcrossAllSheets(C35,TRUE, TRUE)</f>
        <v>Ben at a value of 25</v>
      </c>
      <c r="C11" s="30" t="str">
        <f ca="1">GetExtremeValueAcrossAllSheets(E35,TRUE, TRUE)</f>
        <v>Ben at a value of 197</v>
      </c>
      <c r="E11" s="48">
        <v>8</v>
      </c>
      <c r="F11" s="30" t="str">
        <f>BestPickByRoundNumber(10,8,TRUE)</f>
        <v>Anthony picking Robby Anderson with a 26 diff.</v>
      </c>
      <c r="H11" s="48">
        <v>8</v>
      </c>
      <c r="I11" s="30" t="str">
        <f>BestPickByRoundNumber(10,8,FALSE)</f>
        <v>Tim picking Derrius Guice with a -65 diff.</v>
      </c>
    </row>
    <row r="12" spans="1:20" ht="21" customHeight="1" x14ac:dyDescent="0.25">
      <c r="A12" s="48" t="s">
        <v>100</v>
      </c>
      <c r="B12" s="34" t="str">
        <f ca="1">GetExtremeValueAcrossAllSheets(C35,FALSE, TRUE)</f>
        <v>Leo at a value of -62</v>
      </c>
      <c r="C12" s="30" t="str">
        <f ca="1">GetExtremeValueAcrossAllSheets(E35,FALSE, TRUE)</f>
        <v>Rosie at a value of -326</v>
      </c>
      <c r="E12" s="48">
        <v>9</v>
      </c>
      <c r="F12" s="30" t="str">
        <f>BestPickByRoundNumber(11,8,TRUE)</f>
        <v>Brian picking Dede Westbrook with a 25 diff.</v>
      </c>
      <c r="H12" s="48">
        <v>9</v>
      </c>
      <c r="I12" s="30" t="str">
        <f>BestPickByRoundNumber(11,8,FALSE)</f>
        <v>Rosie picking Tyler Boyd with a -151 diff.</v>
      </c>
    </row>
    <row r="13" spans="1:20" ht="21" customHeight="1" x14ac:dyDescent="0.25">
      <c r="A13" s="48" t="s">
        <v>101</v>
      </c>
      <c r="B13" s="34" t="str">
        <f>GetExtremeValueAcrossAllSheetsInColumnWithColumn(8,2,TRUE, FALSE)</f>
        <v>Anne at a value of 49. Pick: Tyrell Williams</v>
      </c>
      <c r="C13" s="30" t="e">
        <f>GetExtremeValueAcrossAllSheetsInColumnWithColumn(9,2,TRUE, FALSE)</f>
        <v>#VALUE!</v>
      </c>
      <c r="E13" s="48">
        <v>10</v>
      </c>
      <c r="F13" s="30" t="str">
        <f>BestPickByRoundNumber(12,8,TRUE)</f>
        <v>Brian picking Larry Fitzgerald with a 39 diff.</v>
      </c>
      <c r="H13" s="48">
        <v>10</v>
      </c>
      <c r="I13" s="30" t="str">
        <f>BestPickByRoundNumber(12,8,FALSE)</f>
        <v>Anne picking Delanie Walker with a -42 diff.</v>
      </c>
    </row>
    <row r="14" spans="1:20" ht="21" customHeight="1" x14ac:dyDescent="0.25">
      <c r="A14" s="48" t="s">
        <v>102</v>
      </c>
      <c r="B14" s="34" t="str">
        <f>GetExtremeValueAcrossAllSheetsInColumnWithColumn(8,2,FALSE, FALSE)</f>
        <v>Leo at a value of -167. Pick: Will Lutz</v>
      </c>
      <c r="C14" s="30" t="e">
        <f>GetExtremeValueAcrossAllSheetsInColumnWithColumn(9,2,FALSE, FALSE)</f>
        <v>#VALUE!</v>
      </c>
      <c r="E14" s="48">
        <v>11</v>
      </c>
      <c r="F14" s="30" t="str">
        <f>BestPickByRoundNumber(13,8,TRUE)</f>
        <v>Anthony picking Curtis Samuel with a 42 diff.</v>
      </c>
      <c r="H14" s="48">
        <v>11</v>
      </c>
      <c r="I14" s="30" t="str">
        <f>BestPickByRoundNumber(13,8,FALSE)</f>
        <v>Anne picking LeSean McCoy with a -34 diff.</v>
      </c>
    </row>
    <row r="15" spans="1:20" ht="21" customHeight="1" x14ac:dyDescent="0.25">
      <c r="A15" s="48" t="s">
        <v>91</v>
      </c>
      <c r="B15" s="30" t="str">
        <f>GetExtremeValueAcrossAllSheets(C23,TRUE, FALSE)</f>
        <v>Ben at a value of 12</v>
      </c>
      <c r="C15" s="51"/>
      <c r="E15" s="48">
        <v>12</v>
      </c>
      <c r="F15" s="30" t="str">
        <f>BestPickByRoundNumber(14,8,TRUE)</f>
        <v>Leo picking Marques Valdes-Scantling with a 14 diff.</v>
      </c>
      <c r="H15" s="48">
        <v>12</v>
      </c>
      <c r="I15" s="30" t="str">
        <f>BestPickByRoundNumber(14,8,FALSE)</f>
        <v>Ben picking Larry Fitzgerald with a -100 diff.</v>
      </c>
    </row>
    <row r="16" spans="1:20" ht="21" customHeight="1" x14ac:dyDescent="0.25">
      <c r="A16" s="48" t="s">
        <v>92</v>
      </c>
      <c r="B16" s="30" t="str">
        <f>GetExtremeValueAcrossAllSheets(C23,FALSE, FALSE)</f>
        <v>Anne at a value of 7</v>
      </c>
      <c r="C16" s="51"/>
      <c r="E16" s="48">
        <v>13</v>
      </c>
      <c r="F16" s="30" t="str">
        <f>BestPickByRoundNumber(15,8,TRUE)</f>
        <v>Anne picking Tyrell Williams with a 49 diff.</v>
      </c>
      <c r="H16" s="48">
        <v>13</v>
      </c>
      <c r="I16" s="30" t="str">
        <f>BestPickByRoundNumber(15,8,FALSE)</f>
        <v>Angela picking Kareem Hunt with a -63 diff.</v>
      </c>
    </row>
    <row r="17" spans="1:9" ht="21" customHeight="1" x14ac:dyDescent="0.25">
      <c r="A17" s="50"/>
      <c r="B17" s="34"/>
      <c r="C17" s="30"/>
      <c r="E17" s="48">
        <v>14</v>
      </c>
      <c r="F17" s="30" t="str">
        <f>BestPickByRoundNumber(16,8,TRUE)</f>
        <v>Ben picking Kenyan Drake with a 12 diff.</v>
      </c>
      <c r="H17" s="48">
        <v>14</v>
      </c>
      <c r="I17" s="30" t="str">
        <f>BestPickByRoundNumber(16,8,FALSE)</f>
        <v>Leo picking Will Lutz with a -167 diff.</v>
      </c>
    </row>
    <row r="18" spans="1:9" ht="21" customHeight="1" x14ac:dyDescent="0.25">
      <c r="A18" s="50"/>
      <c r="B18" s="34"/>
      <c r="C18" s="30"/>
      <c r="E18" s="48">
        <v>15</v>
      </c>
      <c r="F18" s="30" t="str">
        <f>BestPickByRoundNumber(17,8,TRUE)</f>
        <v>Anthony picking Kalen Ballage with a 33 diff.</v>
      </c>
      <c r="H18" s="48">
        <v>15</v>
      </c>
      <c r="I18" s="30" t="str">
        <f>BestPickByRoundNumber(17,8,FALSE)</f>
        <v>Leo picking Jaylen Samuels with a -29 diff.</v>
      </c>
    </row>
    <row r="19" spans="1:9" ht="21" customHeight="1" x14ac:dyDescent="0.25">
      <c r="A19" s="50"/>
      <c r="B19" s="34"/>
      <c r="C19" s="30"/>
      <c r="E19" s="48">
        <v>16</v>
      </c>
      <c r="F19" s="30" t="str">
        <f>BestPickByRoundNumber(18,8,TRUE)</f>
        <v>Ben picking Marquise Valdes-Scantling with a 4 diff.</v>
      </c>
      <c r="H19" s="48">
        <v>16</v>
      </c>
      <c r="I19" s="30" t="str">
        <f>BestPickByRoundNumber(18,8,FALSE)</f>
        <v>Lou picking Ben Roethlisberger with a -159 diff.</v>
      </c>
    </row>
    <row r="20" spans="1:9" ht="21" customHeight="1" x14ac:dyDescent="0.25">
      <c r="B20" s="34"/>
      <c r="C20" s="30"/>
      <c r="F20" s="30"/>
    </row>
    <row r="21" spans="1:9" ht="21" customHeight="1" x14ac:dyDescent="0.25">
      <c r="B21" s="34"/>
      <c r="C21" s="30"/>
      <c r="F21" s="30"/>
    </row>
    <row r="22" spans="1:9" ht="21" customHeight="1" x14ac:dyDescent="0.25">
      <c r="B22" s="34"/>
      <c r="C22" s="30"/>
      <c r="F22" s="30"/>
    </row>
    <row r="23" spans="1:9" ht="21" customHeight="1" x14ac:dyDescent="0.25">
      <c r="B23" s="34"/>
      <c r="C23" s="30"/>
      <c r="F23" s="30"/>
    </row>
    <row r="24" spans="1:9" ht="21" customHeight="1" x14ac:dyDescent="0.25">
      <c r="B24" s="34"/>
      <c r="C24" s="30"/>
      <c r="F24" s="30"/>
    </row>
    <row r="25" spans="1:9" ht="21" customHeight="1" x14ac:dyDescent="0.25">
      <c r="B25" s="34"/>
      <c r="C25" s="30"/>
      <c r="F25" s="30"/>
    </row>
    <row r="26" spans="1:9" ht="21" customHeight="1" x14ac:dyDescent="0.25">
      <c r="B26" s="34"/>
      <c r="C26" s="30"/>
      <c r="F26" s="30"/>
    </row>
    <row r="27" spans="1:9" ht="21" customHeight="1" x14ac:dyDescent="0.25">
      <c r="B27" s="34"/>
      <c r="C27" s="30"/>
      <c r="F27" s="30"/>
    </row>
    <row r="28" spans="1:9" ht="21" customHeight="1" x14ac:dyDescent="0.25">
      <c r="B28" s="34"/>
      <c r="C28" s="30"/>
      <c r="F28" s="30"/>
    </row>
    <row r="29" spans="1:9" ht="21" customHeight="1" x14ac:dyDescent="0.25">
      <c r="B29" s="34"/>
      <c r="C29" s="30"/>
      <c r="F29" s="30"/>
    </row>
    <row r="30" spans="1:9" ht="21" customHeight="1" x14ac:dyDescent="0.25">
      <c r="B30" s="34"/>
      <c r="C30" s="30"/>
      <c r="F30" s="30"/>
    </row>
    <row r="31" spans="1:9" ht="21" customHeight="1" x14ac:dyDescent="0.25">
      <c r="B31" s="34"/>
      <c r="C31" s="30"/>
      <c r="F31" s="30"/>
    </row>
    <row r="32" spans="1:9" ht="21" customHeight="1" x14ac:dyDescent="0.25">
      <c r="B32" s="34"/>
      <c r="C32" s="30"/>
      <c r="F32" s="30"/>
    </row>
    <row r="33" spans="2:6" ht="21" customHeight="1" x14ac:dyDescent="0.25">
      <c r="B33" s="34"/>
      <c r="C33" s="30"/>
      <c r="F33" s="30"/>
    </row>
    <row r="34" spans="2:6" ht="21" customHeight="1" x14ac:dyDescent="0.25">
      <c r="B34" s="34"/>
      <c r="C34" s="30"/>
      <c r="F34" s="30"/>
    </row>
    <row r="35" spans="2:6" ht="21" customHeight="1" x14ac:dyDescent="0.25">
      <c r="B35" s="34"/>
      <c r="C35" s="30"/>
      <c r="F35" s="30"/>
    </row>
    <row r="36" spans="2:6" ht="21" customHeight="1" x14ac:dyDescent="0.25">
      <c r="B36" s="34"/>
      <c r="C36" s="30"/>
      <c r="F36" s="30"/>
    </row>
    <row r="37" spans="2:6" ht="21" customHeight="1" x14ac:dyDescent="0.25">
      <c r="B37" s="34"/>
      <c r="C37" s="30"/>
      <c r="F37" s="30"/>
    </row>
    <row r="38" spans="2:6" ht="21" customHeight="1" x14ac:dyDescent="0.25">
      <c r="B38" s="34"/>
      <c r="C38" s="30"/>
      <c r="F38" s="30"/>
    </row>
    <row r="39" spans="2:6" ht="21" customHeight="1" x14ac:dyDescent="0.25">
      <c r="B39" s="34"/>
      <c r="C39" s="30"/>
      <c r="F39" s="30"/>
    </row>
    <row r="40" spans="2:6" ht="21" customHeight="1" x14ac:dyDescent="0.25">
      <c r="B40" s="34"/>
      <c r="C40" s="30"/>
      <c r="F40" s="30"/>
    </row>
    <row r="41" spans="2:6" ht="21" customHeight="1" x14ac:dyDescent="0.25">
      <c r="B41" s="34"/>
      <c r="C41" s="30"/>
      <c r="F41" s="30"/>
    </row>
    <row r="42" spans="2:6" ht="21" customHeight="1" x14ac:dyDescent="0.25">
      <c r="B42" s="34"/>
      <c r="C42" s="30"/>
      <c r="F42" s="30"/>
    </row>
    <row r="43" spans="2:6" ht="21" customHeight="1" x14ac:dyDescent="0.25">
      <c r="B43" s="34"/>
      <c r="C43" s="30"/>
    </row>
    <row r="44" spans="2:6" ht="21" customHeight="1" x14ac:dyDescent="0.25">
      <c r="B44" s="34"/>
      <c r="C44" s="30"/>
    </row>
    <row r="45" spans="2:6" ht="21" customHeight="1" x14ac:dyDescent="0.25">
      <c r="B45" s="34"/>
      <c r="C45" s="30"/>
    </row>
    <row r="46" spans="2:6" ht="21" customHeight="1" x14ac:dyDescent="0.25">
      <c r="B46" s="34"/>
      <c r="C46" s="30"/>
    </row>
    <row r="47" spans="2:6" ht="21" customHeight="1" x14ac:dyDescent="0.25">
      <c r="B47" s="34"/>
      <c r="C47" s="30"/>
    </row>
    <row r="48" spans="2:6" ht="21" customHeight="1" x14ac:dyDescent="0.25"/>
    <row r="49" ht="21" customHeight="1" x14ac:dyDescent="0.25"/>
    <row r="50" ht="21" customHeight="1" x14ac:dyDescent="0.25"/>
    <row r="51" ht="21" customHeight="1" x14ac:dyDescent="0.25"/>
  </sheetData>
  <mergeCells count="4">
    <mergeCell ref="B3:C3"/>
    <mergeCell ref="A1:I1"/>
    <mergeCell ref="E3:F3"/>
    <mergeCell ref="H3:I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Rosie</vt:lpstr>
      <vt:lpstr>Ben</vt:lpstr>
      <vt:lpstr>Angela</vt:lpstr>
      <vt:lpstr>Tim</vt:lpstr>
      <vt:lpstr>Anne</vt:lpstr>
      <vt:lpstr>Anthony</vt:lpstr>
      <vt:lpstr>Mike F</vt:lpstr>
      <vt:lpstr>Lou</vt:lpstr>
      <vt:lpstr>Brian</vt:lpstr>
      <vt:lpstr>Leo</vt:lpstr>
      <vt:lpstr>Stat Sheet</vt:lpstr>
    </vt:vector>
  </TitlesOfParts>
  <Company>BTS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Frick, Tim</dc:creator>
  <cp:lastModifiedBy>Frick, Tim</cp:lastModifiedBy>
  <dcterms:created xsi:type="dcterms:W3CDTF">2018-10-24T15:07:54Z</dcterms:created>
  <dcterms:modified xsi:type="dcterms:W3CDTF">2020-01-23T00:33:14Z</dcterms:modified>
</cp:coreProperties>
</file>